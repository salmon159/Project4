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 defaultThemeVersion="166925"/>
  <xr:revisionPtr revIDLastSave="208" documentId="11_DAC540C89F657F360261386EA009D123C5E02BDE" xr6:coauthVersionLast="47" xr6:coauthVersionMax="47" xr10:uidLastSave="{BE5EA427-042D-4A10-9E45-1C4A3F5EA4E7}"/>
  <bookViews>
    <workbookView xWindow="0" yWindow="0" windowWidth="0" windowHeight="0" xr2:uid="{00000000-000D-0000-FFFF-FFFF00000000}"/>
  </bookViews>
  <sheets>
    <sheet name="Export Worksheet" sheetId="1" r:id="rId1"/>
    <sheet name="SO and RO OH" sheetId="3" r:id="rId2"/>
    <sheet name="SO OH and SO OrderNo" sheetId="4" r:id="rId3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2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34" i="1"/>
  <c r="H34" i="1"/>
  <c r="G4" i="1"/>
  <c r="G5" i="1"/>
  <c r="G6" i="1"/>
  <c r="G7" i="1"/>
  <c r="G8" i="1"/>
  <c r="G9" i="1"/>
  <c r="G10" i="1"/>
  <c r="G11" i="1"/>
  <c r="G12" i="1"/>
  <c r="G13" i="1"/>
  <c r="H13" i="1" s="1"/>
  <c r="G14" i="1"/>
  <c r="G15" i="1"/>
  <c r="G16" i="1"/>
  <c r="G17" i="1"/>
  <c r="G18" i="1"/>
  <c r="G19" i="1"/>
  <c r="G20" i="1"/>
  <c r="G21" i="1"/>
  <c r="G22" i="1"/>
  <c r="G23" i="1"/>
  <c r="G24" i="1"/>
  <c r="G25" i="1"/>
  <c r="H25" i="1" s="1"/>
  <c r="G26" i="1"/>
  <c r="G27" i="1"/>
  <c r="G28" i="1"/>
  <c r="G29" i="1"/>
  <c r="G30" i="1"/>
  <c r="G31" i="1"/>
  <c r="G32" i="1"/>
  <c r="G33" i="1"/>
  <c r="H33" i="1"/>
  <c r="G3" i="1"/>
  <c r="H4" i="1"/>
  <c r="H3" i="1"/>
  <c r="H5" i="1"/>
  <c r="H6" i="1"/>
  <c r="H7" i="1"/>
  <c r="H8" i="1"/>
  <c r="H9" i="1"/>
  <c r="H10" i="1"/>
  <c r="H11" i="1"/>
  <c r="H12" i="1"/>
  <c r="H14" i="1"/>
  <c r="H16" i="1"/>
  <c r="H17" i="1"/>
  <c r="H18" i="1"/>
  <c r="H19" i="1"/>
  <c r="H20" i="1"/>
  <c r="H21" i="1"/>
  <c r="H22" i="1"/>
  <c r="H23" i="1"/>
  <c r="H24" i="1"/>
  <c r="H26" i="1"/>
  <c r="H27" i="1"/>
  <c r="H28" i="1"/>
  <c r="H29" i="1"/>
  <c r="H30" i="1"/>
  <c r="H31" i="1"/>
  <c r="H32" i="1"/>
  <c r="G2" i="1"/>
  <c r="H2" i="1" s="1"/>
</calcChain>
</file>

<file path=xl/sharedStrings.xml><?xml version="1.0" encoding="utf-8"?>
<sst xmlns="http://schemas.openxmlformats.org/spreadsheetml/2006/main" count="539" uniqueCount="321">
  <si>
    <t>SCAC</t>
  </si>
  <si>
    <t>ORDER_NO</t>
  </si>
  <si>
    <t>SHIPMENT_NO</t>
  </si>
  <si>
    <t>AIRWAY_BILL_NO</t>
  </si>
  <si>
    <t>RO_ORDER_HEADER_KEY</t>
  </si>
  <si>
    <t>SO_ORDER_HEADER_KEY</t>
  </si>
  <si>
    <t>SO_Order_No</t>
  </si>
  <si>
    <t>Duplicate</t>
  </si>
  <si>
    <t xml:space="preserve">UPSC                    </t>
  </si>
  <si>
    <t>Y100000940</t>
  </si>
  <si>
    <t xml:space="preserve">100004903                               </t>
  </si>
  <si>
    <t>1ZX4029Y7829342471</t>
  </si>
  <si>
    <t xml:space="preserve">20240801182421211487946 </t>
  </si>
  <si>
    <t>Y100000943</t>
  </si>
  <si>
    <t xml:space="preserve">100004914                               </t>
  </si>
  <si>
    <t>1ZX4029Y7831567082</t>
  </si>
  <si>
    <t xml:space="preserve">20240802090746211728349 </t>
  </si>
  <si>
    <t>Y100000945</t>
  </si>
  <si>
    <t xml:space="preserve">100004926                               </t>
  </si>
  <si>
    <t>1ZX4029Y7825096629</t>
  </si>
  <si>
    <t xml:space="preserve">20240802191240211894093 </t>
  </si>
  <si>
    <t>Y100000946</t>
  </si>
  <si>
    <t xml:space="preserve">100004930                               </t>
  </si>
  <si>
    <t>1ZX4029Y7829376239</t>
  </si>
  <si>
    <t xml:space="preserve">20240803075421212140972 </t>
  </si>
  <si>
    <t>Y100000947</t>
  </si>
  <si>
    <t xml:space="preserve">100004958                               </t>
  </si>
  <si>
    <t>1ZX4029Y7802305650</t>
  </si>
  <si>
    <t xml:space="preserve">20240805104758212771589 </t>
  </si>
  <si>
    <t>Y100000949</t>
  </si>
  <si>
    <t xml:space="preserve">100005000                               </t>
  </si>
  <si>
    <t>1ZX4029Y7831734785</t>
  </si>
  <si>
    <t xml:space="preserve">20240807201918213469459 </t>
  </si>
  <si>
    <t>Y100000950</t>
  </si>
  <si>
    <t xml:space="preserve">100005026                               </t>
  </si>
  <si>
    <t>1ZX4029Y7809401159</t>
  </si>
  <si>
    <t xml:space="preserve">20240809081810213824004 </t>
  </si>
  <si>
    <t>Y100000951</t>
  </si>
  <si>
    <t xml:space="preserve">100005027                               </t>
  </si>
  <si>
    <t>1ZX4029Y7829773050</t>
  </si>
  <si>
    <t xml:space="preserve">20240809092023213826682 </t>
  </si>
  <si>
    <t>Y100000952</t>
  </si>
  <si>
    <t xml:space="preserve">100005037                               </t>
  </si>
  <si>
    <t>1ZX4029Y7829415884</t>
  </si>
  <si>
    <t xml:space="preserve">20240809184158214139465 </t>
  </si>
  <si>
    <t>Y100000954</t>
  </si>
  <si>
    <t xml:space="preserve">100005042                               </t>
  </si>
  <si>
    <t>1ZX4029Y7815226033</t>
  </si>
  <si>
    <t xml:space="preserve">20240810002348214150465 </t>
  </si>
  <si>
    <t>Y100000957</t>
  </si>
  <si>
    <t xml:space="preserve">100005055                               </t>
  </si>
  <si>
    <t>1ZX4029Y7839524327</t>
  </si>
  <si>
    <t xml:space="preserve">20240810185214214492789 </t>
  </si>
  <si>
    <t>Y100000960</t>
  </si>
  <si>
    <t xml:space="preserve">100005112                               </t>
  </si>
  <si>
    <t>1ZX4029Y7808388499</t>
  </si>
  <si>
    <t xml:space="preserve">20240813213058215491581 </t>
  </si>
  <si>
    <t>Y100000963</t>
  </si>
  <si>
    <t xml:space="preserve">100005121                               </t>
  </si>
  <si>
    <t>1ZX4029Y7826946520</t>
  </si>
  <si>
    <t xml:space="preserve">20240814103338215687457 </t>
  </si>
  <si>
    <t>Y100000964</t>
  </si>
  <si>
    <t xml:space="preserve">100005153                               </t>
  </si>
  <si>
    <t>1ZX4029Y7836748065</t>
  </si>
  <si>
    <t xml:space="preserve">20240817162834216850176 </t>
  </si>
  <si>
    <t>Y100000965</t>
  </si>
  <si>
    <t xml:space="preserve">100005154                               </t>
  </si>
  <si>
    <t>1ZX4029Y7828475679</t>
  </si>
  <si>
    <t xml:space="preserve">20240817162934216850211 </t>
  </si>
  <si>
    <t>Y100000967</t>
  </si>
  <si>
    <t xml:space="preserve">100005189                               </t>
  </si>
  <si>
    <t>1ZX4029Y7805345174</t>
  </si>
  <si>
    <t xml:space="preserve">20240820141502217857149 </t>
  </si>
  <si>
    <t>Y100000968</t>
  </si>
  <si>
    <t xml:space="preserve">100005192                               </t>
  </si>
  <si>
    <t>1ZX4029Y7829168722</t>
  </si>
  <si>
    <t xml:space="preserve">20240820150536217860013 </t>
  </si>
  <si>
    <t>Y100000971</t>
  </si>
  <si>
    <t xml:space="preserve">100005206                               </t>
  </si>
  <si>
    <t>1ZX4029Y7827801602</t>
  </si>
  <si>
    <t xml:space="preserve">20240821195520217981932 </t>
  </si>
  <si>
    <t>Y100000977</t>
  </si>
  <si>
    <t xml:space="preserve">100005244                               </t>
  </si>
  <si>
    <t>1ZX4029Y7812851818</t>
  </si>
  <si>
    <t xml:space="preserve">20240824171153219440558 </t>
  </si>
  <si>
    <t>Y100000993</t>
  </si>
  <si>
    <t xml:space="preserve">100005273                               </t>
  </si>
  <si>
    <t>1ZX4029Y7806315098</t>
  </si>
  <si>
    <t xml:space="preserve">20240826150248220133085 </t>
  </si>
  <si>
    <t>Y100001009</t>
  </si>
  <si>
    <t xml:space="preserve">100005278                               </t>
  </si>
  <si>
    <t>1ZX4029Y7806590522</t>
  </si>
  <si>
    <t xml:space="preserve">20240827015651220227043 </t>
  </si>
  <si>
    <t>Y100001060</t>
  </si>
  <si>
    <t xml:space="preserve">100005315                               </t>
  </si>
  <si>
    <t>1ZX4029Y7801773307</t>
  </si>
  <si>
    <t xml:space="preserve">20240829064454221210013 </t>
  </si>
  <si>
    <t>Y100001072</t>
  </si>
  <si>
    <t xml:space="preserve">100005318                               </t>
  </si>
  <si>
    <t>1ZX4029Y7815633110</t>
  </si>
  <si>
    <t xml:space="preserve">20240829090709221217279 </t>
  </si>
  <si>
    <t>Y100001073</t>
  </si>
  <si>
    <t xml:space="preserve">100005324                               </t>
  </si>
  <si>
    <t>1ZX4029Y7818155346</t>
  </si>
  <si>
    <t xml:space="preserve">20240829120713221322869 </t>
  </si>
  <si>
    <t>Y100001096</t>
  </si>
  <si>
    <t xml:space="preserve">100005343                               </t>
  </si>
  <si>
    <t>1ZX4029Y7830673834</t>
  </si>
  <si>
    <t xml:space="preserve">20240830085811221489188 </t>
  </si>
  <si>
    <t>Y100001208</t>
  </si>
  <si>
    <t xml:space="preserve">100005456                               </t>
  </si>
  <si>
    <t>1ZX4029Y7826014849</t>
  </si>
  <si>
    <t xml:space="preserve">20240904150611222947654 </t>
  </si>
  <si>
    <t>Y100001237</t>
  </si>
  <si>
    <t xml:space="preserve">100005483                               </t>
  </si>
  <si>
    <t>1ZX4029Y7827715947</t>
  </si>
  <si>
    <t xml:space="preserve">20240905165013223388677 </t>
  </si>
  <si>
    <t>Y100001284</t>
  </si>
  <si>
    <t xml:space="preserve">100005502                               </t>
  </si>
  <si>
    <t>1ZX4029Y7830940821</t>
  </si>
  <si>
    <t xml:space="preserve">20240907000255224706032 </t>
  </si>
  <si>
    <t>Y100001321</t>
  </si>
  <si>
    <t xml:space="preserve">100005584                               </t>
  </si>
  <si>
    <t>1ZX4029Y7809431322</t>
  </si>
  <si>
    <t xml:space="preserve">20240909165456226776112 </t>
  </si>
  <si>
    <t>Y100001332</t>
  </si>
  <si>
    <t xml:space="preserve">100005606                               </t>
  </si>
  <si>
    <t>1ZX4029Y7830375684</t>
  </si>
  <si>
    <t xml:space="preserve">20240910221559227313096 </t>
  </si>
  <si>
    <t>Y100001342</t>
  </si>
  <si>
    <t xml:space="preserve">100005624                               </t>
  </si>
  <si>
    <t>1ZX4029Y7836642179</t>
  </si>
  <si>
    <t xml:space="preserve">20240911150504227822064 </t>
  </si>
  <si>
    <t>Y100001365</t>
  </si>
  <si>
    <t xml:space="preserve">100005699                               </t>
  </si>
  <si>
    <t>1ZX4029Y7833429629</t>
  </si>
  <si>
    <t xml:space="preserve">20240913235633228917959 </t>
  </si>
  <si>
    <t>Y100001367</t>
  </si>
  <si>
    <t xml:space="preserve">100005703                               </t>
  </si>
  <si>
    <t>1ZX4029Y7816958312</t>
  </si>
  <si>
    <t xml:space="preserve">20240914001940228919950 </t>
  </si>
  <si>
    <t>Y100001368</t>
  </si>
  <si>
    <t xml:space="preserve">100005704                               </t>
  </si>
  <si>
    <t>1ZX4029Y7801121921</t>
  </si>
  <si>
    <t xml:space="preserve">20240914002128228920800 </t>
  </si>
  <si>
    <t>Y100001369</t>
  </si>
  <si>
    <t xml:space="preserve">100005705                               </t>
  </si>
  <si>
    <t>1ZX4029Y7807457335</t>
  </si>
  <si>
    <t xml:space="preserve">20240914004025228921575 </t>
  </si>
  <si>
    <t>Y100001374</t>
  </si>
  <si>
    <t xml:space="preserve">100005713                               </t>
  </si>
  <si>
    <t>1ZX4029Y7823809237</t>
  </si>
  <si>
    <t xml:space="preserve">20240914095621229144882 </t>
  </si>
  <si>
    <t>Y100001376</t>
  </si>
  <si>
    <t xml:space="preserve">100005714                               </t>
  </si>
  <si>
    <t>1ZX4029Y7839525844</t>
  </si>
  <si>
    <t xml:space="preserve">20240914112400229148018 </t>
  </si>
  <si>
    <t>Y100001383</t>
  </si>
  <si>
    <t xml:space="preserve">100005738                               </t>
  </si>
  <si>
    <t>1ZX4029Y7801248545</t>
  </si>
  <si>
    <t xml:space="preserve">20240915100616229560634 </t>
  </si>
  <si>
    <t>Y100001423</t>
  </si>
  <si>
    <t xml:space="preserve">100005893                               </t>
  </si>
  <si>
    <t>1ZX4029Y7818843085</t>
  </si>
  <si>
    <t xml:space="preserve">20240919163037231422186 </t>
  </si>
  <si>
    <t>Y100001445</t>
  </si>
  <si>
    <t xml:space="preserve">100005911                               </t>
  </si>
  <si>
    <t>1ZX4029Y7826357765</t>
  </si>
  <si>
    <t xml:space="preserve">20240920124522231876912 </t>
  </si>
  <si>
    <t>Y100001455</t>
  </si>
  <si>
    <t xml:space="preserve">100005956                               </t>
  </si>
  <si>
    <t>1ZX4029Y7816047976</t>
  </si>
  <si>
    <t xml:space="preserve">20240922001536232459269 </t>
  </si>
  <si>
    <t>Y100001460</t>
  </si>
  <si>
    <t xml:space="preserve">100005967                               </t>
  </si>
  <si>
    <t>1ZX4029Y7811218022</t>
  </si>
  <si>
    <t xml:space="preserve">20240922160117232830828 </t>
  </si>
  <si>
    <t>Y100001461</t>
  </si>
  <si>
    <t xml:space="preserve">100005968                               </t>
  </si>
  <si>
    <t>1ZX4029Y7814071434</t>
  </si>
  <si>
    <t xml:space="preserve">20240922160354232830877 </t>
  </si>
  <si>
    <t>Y100001466</t>
  </si>
  <si>
    <t xml:space="preserve">100005970                               </t>
  </si>
  <si>
    <t>1ZX4029Y7832697574</t>
  </si>
  <si>
    <t xml:space="preserve">20240922202242232840661 </t>
  </si>
  <si>
    <t>Y100001472</t>
  </si>
  <si>
    <t xml:space="preserve">100005996                               </t>
  </si>
  <si>
    <t>1ZX4029Y7838592185</t>
  </si>
  <si>
    <t xml:space="preserve">20240923122050233006919 </t>
  </si>
  <si>
    <t>Y100001473</t>
  </si>
  <si>
    <t xml:space="preserve">100005998                               </t>
  </si>
  <si>
    <t>1ZX4029Y7825323794</t>
  </si>
  <si>
    <t xml:space="preserve">20240923131326233009418 </t>
  </si>
  <si>
    <t>Y100001475</t>
  </si>
  <si>
    <t xml:space="preserve">100006001                               </t>
  </si>
  <si>
    <t>1ZX4029Y7836989117</t>
  </si>
  <si>
    <t xml:space="preserve">20240923163816233052826 </t>
  </si>
  <si>
    <t>Y100001480</t>
  </si>
  <si>
    <t xml:space="preserve">100006005                               </t>
  </si>
  <si>
    <t>1ZX4029Y7838501728</t>
  </si>
  <si>
    <t xml:space="preserve">20240923210714233198786 </t>
  </si>
  <si>
    <t>Y100001494</t>
  </si>
  <si>
    <t xml:space="preserve">100006038                               </t>
  </si>
  <si>
    <t>1ZX4029Y7813074791</t>
  </si>
  <si>
    <t xml:space="preserve">20240924161823233784505 </t>
  </si>
  <si>
    <t>Y100001495</t>
  </si>
  <si>
    <t xml:space="preserve">100006039                               </t>
  </si>
  <si>
    <t>1ZX4029Y7801500806</t>
  </si>
  <si>
    <t xml:space="preserve">20240924161904233784540 </t>
  </si>
  <si>
    <t>Y100001498</t>
  </si>
  <si>
    <t xml:space="preserve">100006048                               </t>
  </si>
  <si>
    <t>1ZX4029Y7830063261</t>
  </si>
  <si>
    <t xml:space="preserve">20240924212902233798769 </t>
  </si>
  <si>
    <t>Y100001502</t>
  </si>
  <si>
    <t xml:space="preserve">100006060                               </t>
  </si>
  <si>
    <t>1ZX4029Y7837630877</t>
  </si>
  <si>
    <t xml:space="preserve">20240925071632234040825 </t>
  </si>
  <si>
    <t>Y100001506</t>
  </si>
  <si>
    <t xml:space="preserve">100006067                               </t>
  </si>
  <si>
    <t>1ZX4029Y7830135488</t>
  </si>
  <si>
    <t xml:space="preserve">20240925093537234049055 </t>
  </si>
  <si>
    <t>DERIVED_FROM_ORDER_HEADER_KEY</t>
  </si>
  <si>
    <t xml:space="preserve">20240909123217226174829 </t>
  </si>
  <si>
    <t xml:space="preserve">20240903121626222798382 </t>
  </si>
  <si>
    <t xml:space="preserve">20240919174905231425982 </t>
  </si>
  <si>
    <t xml:space="preserve">20240910120216227130881 </t>
  </si>
  <si>
    <t xml:space="preserve">20240901113624222278503 </t>
  </si>
  <si>
    <t xml:space="preserve">20240916143216230001891 </t>
  </si>
  <si>
    <t xml:space="preserve">20240903220125222841771 </t>
  </si>
  <si>
    <t xml:space="preserve">20240905073125223317902 </t>
  </si>
  <si>
    <t xml:space="preserve">20240825000624219451019 </t>
  </si>
  <si>
    <t xml:space="preserve">20240903005124222718087 </t>
  </si>
  <si>
    <t xml:space="preserve">20240918145404231069984 </t>
  </si>
  <si>
    <t xml:space="preserve">20240916122716229993638 </t>
  </si>
  <si>
    <t xml:space="preserve">20240914202716229249547 </t>
  </si>
  <si>
    <t xml:space="preserve">20240912015716227939152 </t>
  </si>
  <si>
    <t xml:space="preserve">20240915010716229262760 </t>
  </si>
  <si>
    <t xml:space="preserve">20240915065717229554666 </t>
  </si>
  <si>
    <t xml:space="preserve">20240913235716228917994 </t>
  </si>
  <si>
    <t xml:space="preserve">20240910000216227004155 </t>
  </si>
  <si>
    <t xml:space="preserve">20240907165625224993072 </t>
  </si>
  <si>
    <t xml:space="preserve">20240912022216227950886 </t>
  </si>
  <si>
    <t xml:space="preserve">20240913182216228903044 </t>
  </si>
  <si>
    <t xml:space="preserve">20240911120216227741300 </t>
  </si>
  <si>
    <t xml:space="preserve">20240904133625222936269 </t>
  </si>
  <si>
    <t xml:space="preserve">20240902232126222714959 </t>
  </si>
  <si>
    <t xml:space="preserve">20240824202625219445280 </t>
  </si>
  <si>
    <t xml:space="preserve">20240824090625218848922 </t>
  </si>
  <si>
    <t xml:space="preserve">20240822185309218112820 </t>
  </si>
  <si>
    <t xml:space="preserve">20240826003624219774239 </t>
  </si>
  <si>
    <t xml:space="preserve">20240720161455207093312 </t>
  </si>
  <si>
    <t xml:space="preserve">20240808071810213579689 </t>
  </si>
  <si>
    <t xml:space="preserve">20240817204311216856550 </t>
  </si>
  <si>
    <t xml:space="preserve">20240810175809214489423 </t>
  </si>
  <si>
    <t xml:space="preserve">20240812135809215099196 </t>
  </si>
  <si>
    <t xml:space="preserve">20240818183809217158254 </t>
  </si>
  <si>
    <t xml:space="preserve">20240721030454207214962 </t>
  </si>
  <si>
    <t xml:space="preserve">20240816111809216489960 </t>
  </si>
  <si>
    <t xml:space="preserve">20240810182309214491087 </t>
  </si>
  <si>
    <t xml:space="preserve">20240801234309211494968 </t>
  </si>
  <si>
    <t xml:space="preserve">20240721015953207203452 </t>
  </si>
  <si>
    <t xml:space="preserve">20240808212809213727819 </t>
  </si>
  <si>
    <t xml:space="preserve">20240807195310213468627 </t>
  </si>
  <si>
    <t xml:space="preserve">20240717184907205867865 </t>
  </si>
  <si>
    <t xml:space="preserve">20240728200453210114247 </t>
  </si>
  <si>
    <t xml:space="preserve">20240802233810211898958 </t>
  </si>
  <si>
    <t xml:space="preserve">20240724082953208519860 </t>
  </si>
  <si>
    <t xml:space="preserve">20240805132310212860668 </t>
  </si>
  <si>
    <t xml:space="preserve">20240725012453208693803 </t>
  </si>
  <si>
    <t xml:space="preserve">20240726152455209492334 </t>
  </si>
  <si>
    <t xml:space="preserve">20240727190953209869053 </t>
  </si>
  <si>
    <t>ORDER_HEADER_KEY</t>
  </si>
  <si>
    <t>00003986</t>
  </si>
  <si>
    <t>00003886</t>
  </si>
  <si>
    <t>00003736</t>
  </si>
  <si>
    <t>00004029</t>
  </si>
  <si>
    <t>00004844</t>
  </si>
  <si>
    <t>00004596</t>
  </si>
  <si>
    <t>00005116</t>
  </si>
  <si>
    <t>00004855</t>
  </si>
  <si>
    <t>00004651</t>
  </si>
  <si>
    <t>00005040</t>
  </si>
  <si>
    <t>00004675</t>
  </si>
  <si>
    <t>00004697</t>
  </si>
  <si>
    <t>00004374</t>
  </si>
  <si>
    <t>00004590</t>
  </si>
  <si>
    <t>00004248</t>
  </si>
  <si>
    <t>00005080</t>
  </si>
  <si>
    <t>00004985</t>
  </si>
  <si>
    <t>00004956</t>
  </si>
  <si>
    <t>00004800</t>
  </si>
  <si>
    <t>00004916</t>
  </si>
  <si>
    <t>00004960</t>
  </si>
  <si>
    <t>00004942</t>
  </si>
  <si>
    <t>00004851</t>
  </si>
  <si>
    <t>00004733</t>
  </si>
  <si>
    <t>00004802</t>
  </si>
  <si>
    <t>00004897</t>
  </si>
  <si>
    <t>00004783</t>
  </si>
  <si>
    <t>00004682</t>
  </si>
  <si>
    <t>00004664</t>
  </si>
  <si>
    <t>00003731</t>
  </si>
  <si>
    <t>00004322</t>
  </si>
  <si>
    <t>00004243</t>
  </si>
  <si>
    <t>00004055</t>
  </si>
  <si>
    <t>00004024</t>
  </si>
  <si>
    <t>00003930</t>
  </si>
  <si>
    <t>00004469</t>
  </si>
  <si>
    <t>00004364</t>
  </si>
  <si>
    <t>00004349</t>
  </si>
  <si>
    <t>00004480</t>
  </si>
  <si>
    <t>00003530</t>
  </si>
  <si>
    <t>00003532</t>
  </si>
  <si>
    <t>00004086</t>
  </si>
  <si>
    <t>00004157</t>
  </si>
  <si>
    <t>00004104</t>
  </si>
  <si>
    <t>00003523</t>
  </si>
  <si>
    <t>00003569</t>
  </si>
  <si>
    <t>00003572</t>
  </si>
  <si>
    <t>00003326</t>
  </si>
  <si>
    <t>00003589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</si>
</sst>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56"/>
  <sheetViews>
    <sheetView tabSelected="1" workbookViewId="0">
      <pane ySplit="1" topLeftCell="A47" activePane="bottomLeft" state="frozen"/>
      <selection pane="bottomLeft" sqref="A1:H1"/>
    </sheetView>
  </sheetViews>
  <sheetFormatPr defaultRowHeight="15"/>
  <cols>
    <col min="1" max="1" width="15.5703125" bestFit="1" customWidth="1"/>
    <col min="2" max="2" width="12" bestFit="1" customWidth="1"/>
    <col min="3" max="3" width="26.5703125" bestFit="1" customWidth="1"/>
    <col min="4" max="4" width="21" bestFit="1" customWidth="1"/>
    <col min="5" max="5" width="21.140625" customWidth="1"/>
    <col min="6" max="6" width="27.140625" style="1" customWidth="1"/>
    <col min="7" max="7" width="27.140625" customWidth="1"/>
    <col min="8" max="8" width="35.710937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t="s">
        <v>1</v>
      </c>
      <c r="F1" s="1" t="s">
        <v>4</v>
      </c>
      <c r="G1" t="s">
        <v>5</v>
      </c>
      <c r="H1" t="s">
        <v>6</v>
      </c>
      <c r="I1" t="s">
        <v>7</v>
      </c>
    </row>
    <row r="2" spans="1:9">
      <c r="A2" s="1" t="s">
        <v>8</v>
      </c>
      <c r="B2" s="1" t="s">
        <v>9</v>
      </c>
      <c r="C2" s="1" t="s">
        <v>10</v>
      </c>
      <c r="D2" s="1" t="s">
        <v>11</v>
      </c>
      <c r="E2" s="1" t="s">
        <v>9</v>
      </c>
      <c r="F2" s="1" t="s">
        <v>12</v>
      </c>
      <c r="G2" t="str">
        <f>VLOOKUP($F2,'SO and RO OH'!$A$2:$B$173,2,FALSE)</f>
        <v xml:space="preserve">20240721030454207214962 </v>
      </c>
      <c r="H2" t="str">
        <f>VLOOKUP($G2,'SO OH and SO OrderNo'!$A$2:$B$143,2,FALSE)</f>
        <v>00003532</v>
      </c>
      <c r="I2">
        <f>COUNTIF($H$2:$H$54,$H2)</f>
        <v>1</v>
      </c>
    </row>
    <row r="3" spans="1:9">
      <c r="A3" s="1" t="s">
        <v>8</v>
      </c>
      <c r="B3" s="1" t="s">
        <v>13</v>
      </c>
      <c r="C3" s="1" t="s">
        <v>14</v>
      </c>
      <c r="D3" s="1" t="s">
        <v>15</v>
      </c>
      <c r="E3" s="1" t="s">
        <v>13</v>
      </c>
      <c r="F3" s="1" t="s">
        <v>16</v>
      </c>
      <c r="G3" t="str">
        <f>VLOOKUP($F3,'SO and RO OH'!$A$2:$B$173,2,FALSE)</f>
        <v xml:space="preserve">20240726152455209492334 </v>
      </c>
      <c r="H3" t="str">
        <f>VLOOKUP($G3,'SO OH and SO OrderNo'!$A$2:$B$143,2,FALSE)</f>
        <v>00003589</v>
      </c>
      <c r="I3">
        <f t="shared" ref="I3:I54" si="0">COUNTIF($H$2:$H$54,$H3)</f>
        <v>1</v>
      </c>
    </row>
    <row r="4" spans="1:9">
      <c r="A4" s="1" t="s">
        <v>8</v>
      </c>
      <c r="B4" s="1" t="s">
        <v>17</v>
      </c>
      <c r="C4" s="1" t="s">
        <v>18</v>
      </c>
      <c r="D4" s="1" t="s">
        <v>19</v>
      </c>
      <c r="E4" s="1" t="s">
        <v>17</v>
      </c>
      <c r="F4" s="1" t="s">
        <v>20</v>
      </c>
      <c r="G4" t="str">
        <f>VLOOKUP($F4,'SO and RO OH'!$A$2:$B$173,2,FALSE)</f>
        <v xml:space="preserve">20240728200453210114247 </v>
      </c>
      <c r="H4" t="str">
        <f>VLOOKUP($G4,'SO OH and SO OrderNo'!$A$2:$B$143,2,FALSE)</f>
        <v>00003736</v>
      </c>
      <c r="I4">
        <f t="shared" si="0"/>
        <v>1</v>
      </c>
    </row>
    <row r="5" spans="1:9">
      <c r="A5" s="1" t="s">
        <v>8</v>
      </c>
      <c r="B5" s="1" t="s">
        <v>21</v>
      </c>
      <c r="C5" s="1" t="s">
        <v>22</v>
      </c>
      <c r="D5" s="1" t="s">
        <v>23</v>
      </c>
      <c r="E5" s="1" t="s">
        <v>21</v>
      </c>
      <c r="F5" s="1" t="s">
        <v>24</v>
      </c>
      <c r="G5" t="str">
        <f>VLOOKUP($F5,'SO and RO OH'!$A$2:$B$173,2,FALSE)</f>
        <v xml:space="preserve">20240727190953209869053 </v>
      </c>
      <c r="H5" t="str">
        <f>VLOOKUP($G5,'SO OH and SO OrderNo'!$A$2:$B$143,2,FALSE)</f>
        <v>00003731</v>
      </c>
      <c r="I5">
        <f t="shared" si="0"/>
        <v>1</v>
      </c>
    </row>
    <row r="6" spans="1:9">
      <c r="A6" s="1" t="s">
        <v>8</v>
      </c>
      <c r="B6" s="1" t="s">
        <v>25</v>
      </c>
      <c r="C6" s="1" t="s">
        <v>26</v>
      </c>
      <c r="D6" s="1" t="s">
        <v>27</v>
      </c>
      <c r="E6" s="1" t="s">
        <v>25</v>
      </c>
      <c r="F6" s="1" t="s">
        <v>28</v>
      </c>
      <c r="G6" t="str">
        <f>VLOOKUP($F6,'SO and RO OH'!$A$2:$B$173,2,FALSE)</f>
        <v xml:space="preserve">20240724082953208519860 </v>
      </c>
      <c r="H6" t="str">
        <f>VLOOKUP($G6,'SO OH and SO OrderNo'!$A$2:$B$143,2,FALSE)</f>
        <v>00003569</v>
      </c>
      <c r="I6">
        <f t="shared" si="0"/>
        <v>1</v>
      </c>
    </row>
    <row r="7" spans="1:9">
      <c r="A7" s="1" t="s">
        <v>8</v>
      </c>
      <c r="B7" s="1" t="s">
        <v>29</v>
      </c>
      <c r="C7" s="1" t="s">
        <v>30</v>
      </c>
      <c r="D7" s="1" t="s">
        <v>31</v>
      </c>
      <c r="E7" s="1" t="s">
        <v>29</v>
      </c>
      <c r="F7" s="1" t="s">
        <v>32</v>
      </c>
      <c r="G7" t="str">
        <f>VLOOKUP($F7,'SO and RO OH'!$A$2:$B$173,2,FALSE)</f>
        <v xml:space="preserve">20240721015953207203452 </v>
      </c>
      <c r="H7" t="str">
        <f>VLOOKUP($G7,'SO OH and SO OrderNo'!$A$2:$B$143,2,FALSE)</f>
        <v>00003530</v>
      </c>
      <c r="I7">
        <f t="shared" si="0"/>
        <v>1</v>
      </c>
    </row>
    <row r="8" spans="1:9">
      <c r="A8" s="1" t="s">
        <v>8</v>
      </c>
      <c r="B8" s="1" t="s">
        <v>33</v>
      </c>
      <c r="C8" s="1" t="s">
        <v>34</v>
      </c>
      <c r="D8" s="1" t="s">
        <v>35</v>
      </c>
      <c r="E8" s="1" t="s">
        <v>33</v>
      </c>
      <c r="F8" s="1" t="s">
        <v>36</v>
      </c>
      <c r="G8" t="str">
        <f>VLOOKUP($F8,'SO and RO OH'!$A$2:$B$173,2,FALSE)</f>
        <v xml:space="preserve">20240717184907205867865 </v>
      </c>
      <c r="H8" t="str">
        <f>VLOOKUP($G8,'SO OH and SO OrderNo'!$A$2:$B$143,2,FALSE)</f>
        <v>00003326</v>
      </c>
      <c r="I8">
        <f t="shared" si="0"/>
        <v>1</v>
      </c>
    </row>
    <row r="9" spans="1:9">
      <c r="A9" s="1" t="s">
        <v>8</v>
      </c>
      <c r="B9" s="1" t="s">
        <v>37</v>
      </c>
      <c r="C9" s="1" t="s">
        <v>38</v>
      </c>
      <c r="D9" s="1" t="s">
        <v>39</v>
      </c>
      <c r="E9" s="1" t="s">
        <v>37</v>
      </c>
      <c r="F9" s="1" t="s">
        <v>40</v>
      </c>
      <c r="G9" t="str">
        <f>VLOOKUP($F9,'SO and RO OH'!$A$2:$B$173,2,FALSE)</f>
        <v xml:space="preserve">20240801234309211494968 </v>
      </c>
      <c r="H9" t="str">
        <f>VLOOKUP($G9,'SO OH and SO OrderNo'!$A$2:$B$143,2,FALSE)</f>
        <v>00003930</v>
      </c>
      <c r="I9">
        <f t="shared" si="0"/>
        <v>1</v>
      </c>
    </row>
    <row r="10" spans="1:9">
      <c r="A10" s="1" t="s">
        <v>8</v>
      </c>
      <c r="B10" s="1" t="s">
        <v>41</v>
      </c>
      <c r="C10" s="1" t="s">
        <v>42</v>
      </c>
      <c r="D10" s="1" t="s">
        <v>43</v>
      </c>
      <c r="E10" s="1" t="s">
        <v>41</v>
      </c>
      <c r="F10" s="1" t="s">
        <v>44</v>
      </c>
      <c r="G10" t="str">
        <f>VLOOKUP($F10,'SO and RO OH'!$A$2:$B$173,2,FALSE)</f>
        <v xml:space="preserve">20240802233810211898958 </v>
      </c>
      <c r="H10" t="str">
        <f>VLOOKUP($G10,'SO OH and SO OrderNo'!$A$2:$B$143,2,FALSE)</f>
        <v>00003886</v>
      </c>
      <c r="I10">
        <f t="shared" si="0"/>
        <v>1</v>
      </c>
    </row>
    <row r="11" spans="1:9">
      <c r="A11" s="1" t="s">
        <v>8</v>
      </c>
      <c r="B11" s="1" t="s">
        <v>45</v>
      </c>
      <c r="C11" s="1" t="s">
        <v>46</v>
      </c>
      <c r="D11" s="1" t="s">
        <v>47</v>
      </c>
      <c r="E11" s="1" t="s">
        <v>45</v>
      </c>
      <c r="F11" s="1" t="s">
        <v>48</v>
      </c>
      <c r="G11" t="str">
        <f>VLOOKUP($F11,'SO and RO OH'!$A$2:$B$173,2,FALSE)</f>
        <v xml:space="preserve">20240725012453208693803 </v>
      </c>
      <c r="H11" t="str">
        <f>VLOOKUP($G11,'SO OH and SO OrderNo'!$A$2:$B$143,2,FALSE)</f>
        <v>00003572</v>
      </c>
      <c r="I11">
        <f t="shared" si="0"/>
        <v>1</v>
      </c>
    </row>
    <row r="12" spans="1:9">
      <c r="A12" s="1" t="s">
        <v>8</v>
      </c>
      <c r="B12" s="1" t="s">
        <v>49</v>
      </c>
      <c r="C12" s="1" t="s">
        <v>50</v>
      </c>
      <c r="D12" s="1" t="s">
        <v>51</v>
      </c>
      <c r="E12" s="1" t="s">
        <v>49</v>
      </c>
      <c r="F12" s="1" t="s">
        <v>52</v>
      </c>
      <c r="G12" t="str">
        <f>VLOOKUP($F12,'SO and RO OH'!$A$2:$B$173,2,FALSE)</f>
        <v xml:space="preserve">20240805132310212860668 </v>
      </c>
      <c r="H12" t="str">
        <f>VLOOKUP($G12,'SO OH and SO OrderNo'!$A$2:$B$143,2,FALSE)</f>
        <v>00003986</v>
      </c>
      <c r="I12">
        <f t="shared" si="0"/>
        <v>1</v>
      </c>
    </row>
    <row r="13" spans="1:9">
      <c r="A13" s="1" t="s">
        <v>8</v>
      </c>
      <c r="B13" s="1" t="s">
        <v>53</v>
      </c>
      <c r="C13" s="1" t="s">
        <v>54</v>
      </c>
      <c r="D13" s="1" t="s">
        <v>55</v>
      </c>
      <c r="E13" s="1" t="s">
        <v>53</v>
      </c>
      <c r="F13" s="1" t="s">
        <v>56</v>
      </c>
      <c r="G13" t="str">
        <f>VLOOKUP($F13,'SO and RO OH'!$A$2:$B$173,2,FALSE)</f>
        <v xml:space="preserve">20240807195310213468627 </v>
      </c>
      <c r="H13" t="str">
        <f>VLOOKUP($G13,'SO OH and SO OrderNo'!$A$2:$B$143,2,FALSE)</f>
        <v>00004024</v>
      </c>
      <c r="I13">
        <f t="shared" si="0"/>
        <v>1</v>
      </c>
    </row>
    <row r="14" spans="1:9">
      <c r="A14" s="1" t="s">
        <v>8</v>
      </c>
      <c r="B14" s="1" t="s">
        <v>57</v>
      </c>
      <c r="C14" s="1" t="s">
        <v>58</v>
      </c>
      <c r="D14" s="1" t="s">
        <v>59</v>
      </c>
      <c r="E14" s="1" t="s">
        <v>57</v>
      </c>
      <c r="F14" s="1" t="s">
        <v>60</v>
      </c>
      <c r="G14" t="str">
        <f>VLOOKUP($F14,'SO and RO OH'!$A$2:$B$173,2,FALSE)</f>
        <v xml:space="preserve">20240808212809213727819 </v>
      </c>
      <c r="H14" t="str">
        <f>VLOOKUP($G14,'SO OH and SO OrderNo'!$A$2:$B$143,2,FALSE)</f>
        <v>00004055</v>
      </c>
      <c r="I14">
        <f t="shared" si="0"/>
        <v>1</v>
      </c>
    </row>
    <row r="15" spans="1:9">
      <c r="A15" s="1" t="s">
        <v>8</v>
      </c>
      <c r="B15" s="1" t="s">
        <v>61</v>
      </c>
      <c r="C15" s="1" t="s">
        <v>62</v>
      </c>
      <c r="D15" s="1" t="s">
        <v>63</v>
      </c>
      <c r="E15" s="1" t="s">
        <v>61</v>
      </c>
      <c r="F15" s="1" t="s">
        <v>64</v>
      </c>
      <c r="G15" t="str">
        <f>VLOOKUP($F15,'SO and RO OH'!$A$2:$B$173,2,FALSE)</f>
        <v xml:space="preserve">20240810182309214491087 </v>
      </c>
      <c r="H15" t="str">
        <f>VLOOKUP($G15,'SO OH and SO OrderNo'!$A$2:$B$143,2,FALSE)</f>
        <v>00004157</v>
      </c>
      <c r="I15">
        <f t="shared" si="0"/>
        <v>2</v>
      </c>
    </row>
    <row r="16" spans="1:9">
      <c r="A16" s="1" t="s">
        <v>8</v>
      </c>
      <c r="B16" s="1" t="s">
        <v>65</v>
      </c>
      <c r="C16" s="1" t="s">
        <v>66</v>
      </c>
      <c r="D16" s="1" t="s">
        <v>67</v>
      </c>
      <c r="E16" s="1" t="s">
        <v>65</v>
      </c>
      <c r="F16" s="1" t="s">
        <v>68</v>
      </c>
      <c r="G16" t="str">
        <f>VLOOKUP($F16,'SO and RO OH'!$A$2:$B$173,2,FALSE)</f>
        <v xml:space="preserve">20240810182309214491087 </v>
      </c>
      <c r="H16" t="str">
        <f>VLOOKUP($G16,'SO OH and SO OrderNo'!$A$2:$B$143,2,FALSE)</f>
        <v>00004157</v>
      </c>
      <c r="I16">
        <f t="shared" si="0"/>
        <v>2</v>
      </c>
    </row>
    <row r="17" spans="1:9">
      <c r="A17" s="1" t="s">
        <v>8</v>
      </c>
      <c r="B17" s="1" t="s">
        <v>69</v>
      </c>
      <c r="C17" s="1" t="s">
        <v>70</v>
      </c>
      <c r="D17" s="1" t="s">
        <v>71</v>
      </c>
      <c r="E17" s="1" t="s">
        <v>69</v>
      </c>
      <c r="F17" s="1" t="s">
        <v>72</v>
      </c>
      <c r="G17" t="str">
        <f>VLOOKUP($F17,'SO and RO OH'!$A$2:$B$173,2,FALSE)</f>
        <v xml:space="preserve">20240808071810213579689 </v>
      </c>
      <c r="H17" t="str">
        <f>VLOOKUP($G17,'SO OH and SO OrderNo'!$A$2:$B$143,2,FALSE)</f>
        <v>00004029</v>
      </c>
      <c r="I17">
        <f t="shared" si="0"/>
        <v>1</v>
      </c>
    </row>
    <row r="18" spans="1:9">
      <c r="A18" s="1" t="s">
        <v>8</v>
      </c>
      <c r="B18" s="1" t="s">
        <v>73</v>
      </c>
      <c r="C18" s="1" t="s">
        <v>74</v>
      </c>
      <c r="D18" s="1" t="s">
        <v>75</v>
      </c>
      <c r="E18" s="1" t="s">
        <v>73</v>
      </c>
      <c r="F18" s="1" t="s">
        <v>76</v>
      </c>
      <c r="G18" t="str">
        <f>VLOOKUP($F18,'SO and RO OH'!$A$2:$B$173,2,FALSE)</f>
        <v xml:space="preserve">20240816111809216489960 </v>
      </c>
      <c r="H18" t="str">
        <f>VLOOKUP($G18,'SO OH and SO OrderNo'!$A$2:$B$143,2,FALSE)</f>
        <v>00004243</v>
      </c>
      <c r="I18">
        <f t="shared" si="0"/>
        <v>1</v>
      </c>
    </row>
    <row r="19" spans="1:9">
      <c r="A19" s="1" t="s">
        <v>8</v>
      </c>
      <c r="B19" s="1" t="s">
        <v>77</v>
      </c>
      <c r="C19" s="1" t="s">
        <v>78</v>
      </c>
      <c r="D19" s="1" t="s">
        <v>79</v>
      </c>
      <c r="E19" s="1" t="s">
        <v>77</v>
      </c>
      <c r="F19" s="1" t="s">
        <v>80</v>
      </c>
      <c r="G19" t="str">
        <f>VLOOKUP($F19,'SO and RO OH'!$A$2:$B$173,2,FALSE)</f>
        <v xml:space="preserve">20240818183809217158254 </v>
      </c>
      <c r="H19" t="str">
        <f>VLOOKUP($G19,'SO OH and SO OrderNo'!$A$2:$B$143,2,FALSE)</f>
        <v>00004322</v>
      </c>
      <c r="I19">
        <f t="shared" si="0"/>
        <v>1</v>
      </c>
    </row>
    <row r="20" spans="1:9">
      <c r="A20" s="1" t="s">
        <v>8</v>
      </c>
      <c r="B20" s="1" t="s">
        <v>81</v>
      </c>
      <c r="C20" s="1" t="s">
        <v>82</v>
      </c>
      <c r="D20" s="1" t="s">
        <v>83</v>
      </c>
      <c r="E20" s="1" t="s">
        <v>81</v>
      </c>
      <c r="F20" s="1" t="s">
        <v>84</v>
      </c>
      <c r="G20" t="str">
        <f>VLOOKUP($F20,'SO and RO OH'!$A$2:$B$173,2,FALSE)</f>
        <v xml:space="preserve">20240812135809215099196 </v>
      </c>
      <c r="H20" t="str">
        <f>VLOOKUP($G20,'SO OH and SO OrderNo'!$A$2:$B$143,2,FALSE)</f>
        <v>00004104</v>
      </c>
      <c r="I20">
        <f t="shared" si="0"/>
        <v>1</v>
      </c>
    </row>
    <row r="21" spans="1:9">
      <c r="A21" s="1" t="s">
        <v>8</v>
      </c>
      <c r="B21" s="1" t="s">
        <v>85</v>
      </c>
      <c r="C21" s="1" t="s">
        <v>86</v>
      </c>
      <c r="D21" s="1" t="s">
        <v>87</v>
      </c>
      <c r="E21" s="1" t="s">
        <v>85</v>
      </c>
      <c r="F21" s="1" t="s">
        <v>88</v>
      </c>
      <c r="G21" t="str">
        <f>VLOOKUP($F21,'SO and RO OH'!$A$2:$B$173,2,FALSE)</f>
        <v xml:space="preserve">20240817204311216856550 </v>
      </c>
      <c r="H21" t="str">
        <f>VLOOKUP($G21,'SO OH and SO OrderNo'!$A$2:$B$143,2,FALSE)</f>
        <v>00004248</v>
      </c>
      <c r="I21">
        <f t="shared" si="0"/>
        <v>1</v>
      </c>
    </row>
    <row r="22" spans="1:9">
      <c r="A22" s="1" t="s">
        <v>8</v>
      </c>
      <c r="B22" s="1" t="s">
        <v>89</v>
      </c>
      <c r="C22" s="1" t="s">
        <v>90</v>
      </c>
      <c r="D22" s="1" t="s">
        <v>91</v>
      </c>
      <c r="E22" s="1" t="s">
        <v>89</v>
      </c>
      <c r="F22" s="1" t="s">
        <v>92</v>
      </c>
      <c r="G22" t="str">
        <f>VLOOKUP($F22,'SO and RO OH'!$A$2:$B$173,2,FALSE)</f>
        <v xml:space="preserve">20240810175809214489423 </v>
      </c>
      <c r="H22" t="str">
        <f>VLOOKUP($G22,'SO OH and SO OrderNo'!$A$2:$B$143,2,FALSE)</f>
        <v>00004086</v>
      </c>
      <c r="I22">
        <f t="shared" si="0"/>
        <v>1</v>
      </c>
    </row>
    <row r="23" spans="1:9">
      <c r="A23" s="1" t="s">
        <v>8</v>
      </c>
      <c r="B23" s="1" t="s">
        <v>93</v>
      </c>
      <c r="C23" s="1" t="s">
        <v>94</v>
      </c>
      <c r="D23" s="1" t="s">
        <v>95</v>
      </c>
      <c r="E23" s="1" t="s">
        <v>93</v>
      </c>
      <c r="F23" s="1" t="s">
        <v>96</v>
      </c>
      <c r="G23" t="str">
        <f>VLOOKUP($F23,'SO and RO OH'!$A$2:$B$173,2,FALSE)</f>
        <v xml:space="preserve">20240824090625218848922 </v>
      </c>
      <c r="H23" t="str">
        <f>VLOOKUP($G23,'SO OH and SO OrderNo'!$A$2:$B$143,2,FALSE)</f>
        <v>00004364</v>
      </c>
      <c r="I23">
        <f t="shared" si="0"/>
        <v>1</v>
      </c>
    </row>
    <row r="24" spans="1:9">
      <c r="A24" s="1" t="s">
        <v>8</v>
      </c>
      <c r="B24" s="1" t="s">
        <v>97</v>
      </c>
      <c r="C24" s="1" t="s">
        <v>98</v>
      </c>
      <c r="D24" s="1" t="s">
        <v>99</v>
      </c>
      <c r="E24" s="1" t="s">
        <v>97</v>
      </c>
      <c r="F24" s="1" t="s">
        <v>100</v>
      </c>
      <c r="G24" t="str">
        <f>VLOOKUP($F24,'SO and RO OH'!$A$2:$B$173,2,FALSE)</f>
        <v xml:space="preserve">20240720161455207093312 </v>
      </c>
      <c r="H24" t="str">
        <f>VLOOKUP($G24,'SO OH and SO OrderNo'!$A$2:$B$143,2,FALSE)</f>
        <v>00003523</v>
      </c>
      <c r="I24">
        <f t="shared" si="0"/>
        <v>1</v>
      </c>
    </row>
    <row r="25" spans="1:9">
      <c r="A25" s="1" t="s">
        <v>8</v>
      </c>
      <c r="B25" s="1" t="s">
        <v>101</v>
      </c>
      <c r="C25" s="1" t="s">
        <v>102</v>
      </c>
      <c r="D25" s="1" t="s">
        <v>103</v>
      </c>
      <c r="E25" s="1" t="s">
        <v>101</v>
      </c>
      <c r="F25" s="1" t="s">
        <v>104</v>
      </c>
      <c r="G25" t="str">
        <f>VLOOKUP($F25,'SO and RO OH'!$A$2:$B$173,2,FALSE)</f>
        <v xml:space="preserve">20240822185309218112820 </v>
      </c>
      <c r="H25" t="str">
        <f>VLOOKUP($G25,'SO OH and SO OrderNo'!$A$2:$B$143,2,FALSE)</f>
        <v>00004349</v>
      </c>
      <c r="I25">
        <f t="shared" si="0"/>
        <v>1</v>
      </c>
    </row>
    <row r="26" spans="1:9">
      <c r="A26" s="1" t="s">
        <v>8</v>
      </c>
      <c r="B26" s="1" t="s">
        <v>105</v>
      </c>
      <c r="C26" s="1" t="s">
        <v>106</v>
      </c>
      <c r="D26" s="1" t="s">
        <v>107</v>
      </c>
      <c r="E26" s="1" t="s">
        <v>105</v>
      </c>
      <c r="F26" s="1" t="s">
        <v>108</v>
      </c>
      <c r="G26" t="str">
        <f>VLOOKUP($F26,'SO and RO OH'!$A$2:$B$173,2,FALSE)</f>
        <v xml:space="preserve">20240826003624219774239 </v>
      </c>
      <c r="H26" t="str">
        <f>VLOOKUP($G26,'SO OH and SO OrderNo'!$A$2:$B$143,2,FALSE)</f>
        <v>00004480</v>
      </c>
      <c r="I26">
        <f t="shared" si="0"/>
        <v>1</v>
      </c>
    </row>
    <row r="27" spans="1:9">
      <c r="A27" s="1" t="s">
        <v>8</v>
      </c>
      <c r="B27" s="1" t="s">
        <v>109</v>
      </c>
      <c r="C27" s="1" t="s">
        <v>110</v>
      </c>
      <c r="D27" s="1" t="s">
        <v>111</v>
      </c>
      <c r="E27" s="1" t="s">
        <v>109</v>
      </c>
      <c r="F27" s="1" t="s">
        <v>112</v>
      </c>
      <c r="G27" t="str">
        <f>VLOOKUP($F27,'SO and RO OH'!$A$2:$B$173,2,FALSE)</f>
        <v xml:space="preserve">20240824202625219445280 </v>
      </c>
      <c r="H27" t="str">
        <f>VLOOKUP($G27,'SO OH and SO OrderNo'!$A$2:$B$143,2,FALSE)</f>
        <v>00004469</v>
      </c>
      <c r="I27">
        <f t="shared" si="0"/>
        <v>1</v>
      </c>
    </row>
    <row r="28" spans="1:9">
      <c r="A28" s="1" t="s">
        <v>8</v>
      </c>
      <c r="B28" s="1" t="s">
        <v>113</v>
      </c>
      <c r="C28" s="1" t="s">
        <v>114</v>
      </c>
      <c r="D28" s="1" t="s">
        <v>115</v>
      </c>
      <c r="E28" s="1" t="s">
        <v>113</v>
      </c>
      <c r="F28" s="1" t="s">
        <v>116</v>
      </c>
      <c r="G28" t="str">
        <f>VLOOKUP($F28,'SO and RO OH'!$A$2:$B$173,2,FALSE)</f>
        <v xml:space="preserve">20240825000624219451019 </v>
      </c>
      <c r="H28" t="str">
        <f>VLOOKUP($G28,'SO OH and SO OrderNo'!$A$2:$B$143,2,FALSE)</f>
        <v>00004374</v>
      </c>
      <c r="I28">
        <f t="shared" si="0"/>
        <v>1</v>
      </c>
    </row>
    <row r="29" spans="1:9">
      <c r="A29" s="1" t="s">
        <v>8</v>
      </c>
      <c r="B29" s="1" t="s">
        <v>117</v>
      </c>
      <c r="C29" s="1" t="s">
        <v>118</v>
      </c>
      <c r="D29" s="1" t="s">
        <v>119</v>
      </c>
      <c r="E29" s="1" t="s">
        <v>117</v>
      </c>
      <c r="F29" s="1" t="s">
        <v>120</v>
      </c>
      <c r="G29" t="str">
        <f>VLOOKUP($F29,'SO and RO OH'!$A$2:$B$173,2,FALSE)</f>
        <v xml:space="preserve">20240903005124222718087 </v>
      </c>
      <c r="H29" t="str">
        <f>VLOOKUP($G29,'SO OH and SO OrderNo'!$A$2:$B$143,2,FALSE)</f>
        <v>00004590</v>
      </c>
      <c r="I29">
        <f t="shared" si="0"/>
        <v>1</v>
      </c>
    </row>
    <row r="30" spans="1:9">
      <c r="A30" s="1" t="s">
        <v>8</v>
      </c>
      <c r="B30" s="1" t="s">
        <v>121</v>
      </c>
      <c r="C30" s="1" t="s">
        <v>122</v>
      </c>
      <c r="D30" s="1" t="s">
        <v>123</v>
      </c>
      <c r="E30" s="1" t="s">
        <v>121</v>
      </c>
      <c r="F30" s="1" t="s">
        <v>124</v>
      </c>
      <c r="G30" t="str">
        <f>VLOOKUP($F30,'SO and RO OH'!$A$2:$B$173,2,FALSE)</f>
        <v xml:space="preserve">20240905073125223317902 </v>
      </c>
      <c r="H30" t="str">
        <f>VLOOKUP($G30,'SO OH and SO OrderNo'!$A$2:$B$143,2,FALSE)</f>
        <v>00004697</v>
      </c>
      <c r="I30">
        <f t="shared" si="0"/>
        <v>1</v>
      </c>
    </row>
    <row r="31" spans="1:9">
      <c r="A31" s="1" t="s">
        <v>8</v>
      </c>
      <c r="B31" s="1" t="s">
        <v>125</v>
      </c>
      <c r="C31" s="1" t="s">
        <v>126</v>
      </c>
      <c r="D31" s="1" t="s">
        <v>127</v>
      </c>
      <c r="E31" s="1" t="s">
        <v>125</v>
      </c>
      <c r="F31" s="1" t="s">
        <v>128</v>
      </c>
      <c r="G31" t="str">
        <f>VLOOKUP($F31,'SO and RO OH'!$A$2:$B$173,2,FALSE)</f>
        <v xml:space="preserve">20240902232126222714959 </v>
      </c>
      <c r="H31" t="str">
        <f>VLOOKUP($G31,'SO OH and SO OrderNo'!$A$2:$B$143,2,FALSE)</f>
        <v>00004664</v>
      </c>
      <c r="I31">
        <f t="shared" si="0"/>
        <v>1</v>
      </c>
    </row>
    <row r="32" spans="1:9">
      <c r="A32" s="1" t="s">
        <v>8</v>
      </c>
      <c r="B32" s="1" t="s">
        <v>129</v>
      </c>
      <c r="C32" s="1" t="s">
        <v>130</v>
      </c>
      <c r="D32" s="1" t="s">
        <v>131</v>
      </c>
      <c r="E32" t="s">
        <v>129</v>
      </c>
      <c r="F32" s="1" t="s">
        <v>132</v>
      </c>
      <c r="G32" t="str">
        <f>VLOOKUP($F32,'SO and RO OH'!$A$2:$B$173,2,FALSE)</f>
        <v xml:space="preserve">20240904133625222936269 </v>
      </c>
      <c r="H32" t="str">
        <f>VLOOKUP($G32,'SO OH and SO OrderNo'!$A$2:$B$143,2,FALSE)</f>
        <v>00004682</v>
      </c>
      <c r="I32">
        <f t="shared" si="0"/>
        <v>1</v>
      </c>
    </row>
    <row r="33" spans="1:9">
      <c r="A33" s="1" t="s">
        <v>8</v>
      </c>
      <c r="B33" s="1" t="s">
        <v>133</v>
      </c>
      <c r="C33" s="1" t="s">
        <v>134</v>
      </c>
      <c r="D33" s="1" t="s">
        <v>135</v>
      </c>
      <c r="E33" t="s">
        <v>133</v>
      </c>
      <c r="F33" s="1" t="s">
        <v>136</v>
      </c>
      <c r="G33" t="str">
        <f>VLOOKUP($F33,'SO and RO OH'!$A$2:$B$173,2,FALSE)</f>
        <v xml:space="preserve">20240910120216227130881 </v>
      </c>
      <c r="H33" t="str">
        <f>VLOOKUP($G33,'SO OH and SO OrderNo'!$A$2:$B$143,2,FALSE)</f>
        <v>00004855</v>
      </c>
      <c r="I33">
        <f t="shared" si="0"/>
        <v>1</v>
      </c>
    </row>
    <row r="34" spans="1:9">
      <c r="A34" s="1" t="s">
        <v>8</v>
      </c>
      <c r="B34" s="1" t="s">
        <v>137</v>
      </c>
      <c r="C34" s="1" t="s">
        <v>138</v>
      </c>
      <c r="D34" s="1" t="s">
        <v>139</v>
      </c>
      <c r="E34" t="s">
        <v>137</v>
      </c>
      <c r="F34" s="1" t="s">
        <v>140</v>
      </c>
      <c r="G34" t="str">
        <f>VLOOKUP($F34,'SO and RO OH'!$A$2:$B$173,2,FALSE)</f>
        <v xml:space="preserve">20240907165625224993072 </v>
      </c>
      <c r="H34" t="str">
        <f>VLOOKUP($G34,'SO OH and SO OrderNo'!$A$2:$B$143,2,FALSE)</f>
        <v>00004733</v>
      </c>
      <c r="I34">
        <f t="shared" si="0"/>
        <v>2</v>
      </c>
    </row>
    <row r="35" spans="1:9">
      <c r="A35" s="1" t="s">
        <v>8</v>
      </c>
      <c r="B35" s="1" t="s">
        <v>141</v>
      </c>
      <c r="C35" s="1" t="s">
        <v>142</v>
      </c>
      <c r="D35" s="1" t="s">
        <v>143</v>
      </c>
      <c r="E35" t="s">
        <v>141</v>
      </c>
      <c r="F35" s="1" t="s">
        <v>144</v>
      </c>
      <c r="G35" t="str">
        <f>VLOOKUP($F35,'SO and RO OH'!$A$2:$B$173,2,FALSE)</f>
        <v xml:space="preserve">20240907165625224993072 </v>
      </c>
      <c r="H35" t="str">
        <f>VLOOKUP($G35,'SO OH and SO OrderNo'!$A$2:$B$143,2,FALSE)</f>
        <v>00004733</v>
      </c>
      <c r="I35">
        <f t="shared" si="0"/>
        <v>2</v>
      </c>
    </row>
    <row r="36" spans="1:9">
      <c r="A36" s="1" t="s">
        <v>8</v>
      </c>
      <c r="B36" s="1" t="s">
        <v>145</v>
      </c>
      <c r="C36" s="1" t="s">
        <v>146</v>
      </c>
      <c r="D36" s="1" t="s">
        <v>147</v>
      </c>
      <c r="E36" t="s">
        <v>145</v>
      </c>
      <c r="F36" s="1" t="s">
        <v>148</v>
      </c>
      <c r="G36" t="str">
        <f>VLOOKUP($F36,'SO and RO OH'!$A$2:$B$173,2,FALSE)</f>
        <v xml:space="preserve">20240910000216227004155 </v>
      </c>
      <c r="H36" t="str">
        <f>VLOOKUP($G36,'SO OH and SO OrderNo'!$A$2:$B$143,2,FALSE)</f>
        <v>00004851</v>
      </c>
      <c r="I36">
        <f t="shared" si="0"/>
        <v>1</v>
      </c>
    </row>
    <row r="37" spans="1:9">
      <c r="A37" s="1" t="s">
        <v>8</v>
      </c>
      <c r="B37" s="1" t="s">
        <v>149</v>
      </c>
      <c r="C37" s="1" t="s">
        <v>150</v>
      </c>
      <c r="D37" s="1" t="s">
        <v>151</v>
      </c>
      <c r="E37" t="s">
        <v>149</v>
      </c>
      <c r="F37" s="1" t="s">
        <v>152</v>
      </c>
      <c r="G37" t="str">
        <f>VLOOKUP($F37,'SO and RO OH'!$A$2:$B$173,2,FALSE)</f>
        <v xml:space="preserve">20240903220125222841771 </v>
      </c>
      <c r="H37" t="str">
        <f>VLOOKUP($G37,'SO OH and SO OrderNo'!$A$2:$B$143,2,FALSE)</f>
        <v>00004675</v>
      </c>
      <c r="I37">
        <f t="shared" si="0"/>
        <v>1</v>
      </c>
    </row>
    <row r="38" spans="1:9">
      <c r="A38" s="1" t="s">
        <v>8</v>
      </c>
      <c r="B38" s="1" t="s">
        <v>153</v>
      </c>
      <c r="C38" s="1" t="s">
        <v>154</v>
      </c>
      <c r="D38" s="1" t="s">
        <v>155</v>
      </c>
      <c r="E38" t="s">
        <v>153</v>
      </c>
      <c r="F38" s="1" t="s">
        <v>156</v>
      </c>
      <c r="G38" t="str">
        <f>VLOOKUP($F38,'SO and RO OH'!$A$2:$B$173,2,FALSE)</f>
        <v xml:space="preserve">20240901113624222278503 </v>
      </c>
      <c r="H38" t="str">
        <f>VLOOKUP($G38,'SO OH and SO OrderNo'!$A$2:$B$143,2,FALSE)</f>
        <v>00004651</v>
      </c>
      <c r="I38">
        <f t="shared" si="0"/>
        <v>1</v>
      </c>
    </row>
    <row r="39" spans="1:9">
      <c r="A39" s="1" t="s">
        <v>8</v>
      </c>
      <c r="B39" s="1" t="s">
        <v>157</v>
      </c>
      <c r="C39" s="1" t="s">
        <v>158</v>
      </c>
      <c r="D39" s="1" t="s">
        <v>159</v>
      </c>
      <c r="E39" t="s">
        <v>157</v>
      </c>
      <c r="F39" s="1" t="s">
        <v>160</v>
      </c>
      <c r="G39" t="str">
        <f>VLOOKUP($F39,'SO and RO OH'!$A$2:$B$173,2,FALSE)</f>
        <v xml:space="preserve">20240911120216227741300 </v>
      </c>
      <c r="H39" t="str">
        <f>VLOOKUP($G39,'SO OH and SO OrderNo'!$A$2:$B$143,2,FALSE)</f>
        <v>00004783</v>
      </c>
      <c r="I39">
        <f t="shared" si="0"/>
        <v>1</v>
      </c>
    </row>
    <row r="40" spans="1:9">
      <c r="A40" s="1" t="s">
        <v>8</v>
      </c>
      <c r="B40" s="1" t="s">
        <v>161</v>
      </c>
      <c r="C40" s="1" t="s">
        <v>162</v>
      </c>
      <c r="D40" s="1" t="s">
        <v>163</v>
      </c>
      <c r="E40" t="s">
        <v>161</v>
      </c>
      <c r="F40" s="1" t="s">
        <v>164</v>
      </c>
      <c r="G40" t="str">
        <f>VLOOKUP($F40,'SO and RO OH'!$A$2:$B$173,2,FALSE)</f>
        <v xml:space="preserve">20240913182216228903044 </v>
      </c>
      <c r="H40" t="str">
        <f>VLOOKUP($G40,'SO OH and SO OrderNo'!$A$2:$B$143,2,FALSE)</f>
        <v>00004897</v>
      </c>
      <c r="I40">
        <f t="shared" si="0"/>
        <v>1</v>
      </c>
    </row>
    <row r="41" spans="1:9">
      <c r="A41" s="1" t="s">
        <v>8</v>
      </c>
      <c r="B41" s="1" t="s">
        <v>165</v>
      </c>
      <c r="C41" s="1" t="s">
        <v>166</v>
      </c>
      <c r="D41" s="1" t="s">
        <v>167</v>
      </c>
      <c r="E41" t="s">
        <v>165</v>
      </c>
      <c r="F41" s="1" t="s">
        <v>168</v>
      </c>
      <c r="G41" t="str">
        <f>VLOOKUP($F41,'SO and RO OH'!$A$2:$B$173,2,FALSE)</f>
        <v xml:space="preserve">20240912022216227950886 </v>
      </c>
      <c r="H41" t="str">
        <f>VLOOKUP($G41,'SO OH and SO OrderNo'!$A$2:$B$143,2,FALSE)</f>
        <v>00004802</v>
      </c>
      <c r="I41">
        <f t="shared" si="0"/>
        <v>1</v>
      </c>
    </row>
    <row r="42" spans="1:9">
      <c r="A42" s="1" t="s">
        <v>8</v>
      </c>
      <c r="B42" s="1" t="s">
        <v>169</v>
      </c>
      <c r="C42" s="1" t="s">
        <v>170</v>
      </c>
      <c r="D42" s="1" t="s">
        <v>171</v>
      </c>
      <c r="E42" t="s">
        <v>169</v>
      </c>
      <c r="F42" s="1" t="s">
        <v>172</v>
      </c>
      <c r="G42" t="str">
        <f>VLOOKUP($F42,'SO and RO OH'!$A$2:$B$173,2,FALSE)</f>
        <v xml:space="preserve">20240913235716228917994 </v>
      </c>
      <c r="H42" t="str">
        <f>VLOOKUP($G42,'SO OH and SO OrderNo'!$A$2:$B$143,2,FALSE)</f>
        <v>00004942</v>
      </c>
      <c r="I42">
        <f t="shared" si="0"/>
        <v>1</v>
      </c>
    </row>
    <row r="43" spans="1:9">
      <c r="A43" s="1" t="s">
        <v>8</v>
      </c>
      <c r="B43" s="1" t="s">
        <v>173</v>
      </c>
      <c r="C43" s="1" t="s">
        <v>174</v>
      </c>
      <c r="D43" s="1" t="s">
        <v>175</v>
      </c>
      <c r="E43" t="s">
        <v>173</v>
      </c>
      <c r="F43" s="1" t="s">
        <v>176</v>
      </c>
      <c r="G43" t="str">
        <f>VLOOKUP($F43,'SO and RO OH'!$A$2:$B$173,2,FALSE)</f>
        <v xml:space="preserve">20240915065717229554666 </v>
      </c>
      <c r="H43" t="str">
        <f>VLOOKUP($G43,'SO OH and SO OrderNo'!$A$2:$B$143,2,FALSE)</f>
        <v>00004960</v>
      </c>
      <c r="I43">
        <f t="shared" si="0"/>
        <v>2</v>
      </c>
    </row>
    <row r="44" spans="1:9">
      <c r="A44" s="1" t="s">
        <v>8</v>
      </c>
      <c r="B44" s="1" t="s">
        <v>177</v>
      </c>
      <c r="C44" s="1" t="s">
        <v>178</v>
      </c>
      <c r="D44" s="1" t="s">
        <v>179</v>
      </c>
      <c r="E44" t="s">
        <v>177</v>
      </c>
      <c r="F44" s="1" t="s">
        <v>180</v>
      </c>
      <c r="G44" t="str">
        <f>VLOOKUP($F44,'SO and RO OH'!$A$2:$B$173,2,FALSE)</f>
        <v xml:space="preserve">20240915065717229554666 </v>
      </c>
      <c r="H44" t="str">
        <f>VLOOKUP($G44,'SO OH and SO OrderNo'!$A$2:$B$143,2,FALSE)</f>
        <v>00004960</v>
      </c>
      <c r="I44">
        <f t="shared" si="0"/>
        <v>2</v>
      </c>
    </row>
    <row r="45" spans="1:9">
      <c r="A45" s="1" t="s">
        <v>8</v>
      </c>
      <c r="B45" s="1" t="s">
        <v>181</v>
      </c>
      <c r="C45" s="1" t="s">
        <v>182</v>
      </c>
      <c r="D45" s="1" t="s">
        <v>183</v>
      </c>
      <c r="E45" t="s">
        <v>181</v>
      </c>
      <c r="F45" s="1" t="s">
        <v>184</v>
      </c>
      <c r="G45" t="str">
        <f>VLOOKUP($F45,'SO and RO OH'!$A$2:$B$173,2,FALSE)</f>
        <v xml:space="preserve">20240915010716229262760 </v>
      </c>
      <c r="H45" t="str">
        <f>VLOOKUP($G45,'SO OH and SO OrderNo'!$A$2:$B$143,2,FALSE)</f>
        <v>00004916</v>
      </c>
      <c r="I45">
        <f t="shared" si="0"/>
        <v>1</v>
      </c>
    </row>
    <row r="46" spans="1:9">
      <c r="A46" s="1" t="s">
        <v>8</v>
      </c>
      <c r="B46" s="1" t="s">
        <v>185</v>
      </c>
      <c r="C46" s="1" t="s">
        <v>186</v>
      </c>
      <c r="D46" s="1" t="s">
        <v>187</v>
      </c>
      <c r="E46" t="s">
        <v>185</v>
      </c>
      <c r="F46" s="1" t="s">
        <v>188</v>
      </c>
      <c r="G46" t="str">
        <f>VLOOKUP($F46,'SO and RO OH'!$A$2:$B$173,2,FALSE)</f>
        <v xml:space="preserve">20240912015716227939152 </v>
      </c>
      <c r="H46" t="str">
        <f>VLOOKUP($G46,'SO OH and SO OrderNo'!$A$2:$B$143,2,FALSE)</f>
        <v>00004800</v>
      </c>
      <c r="I46">
        <f t="shared" si="0"/>
        <v>1</v>
      </c>
    </row>
    <row r="47" spans="1:9">
      <c r="A47" s="1" t="s">
        <v>8</v>
      </c>
      <c r="B47" s="1" t="s">
        <v>189</v>
      </c>
      <c r="C47" s="1" t="s">
        <v>190</v>
      </c>
      <c r="D47" s="1" t="s">
        <v>191</v>
      </c>
      <c r="E47" t="s">
        <v>189</v>
      </c>
      <c r="F47" s="1" t="s">
        <v>192</v>
      </c>
      <c r="G47" t="str">
        <f>VLOOKUP($F47,'SO and RO OH'!$A$2:$B$173,2,FALSE)</f>
        <v xml:space="preserve">20240914202716229249547 </v>
      </c>
      <c r="H47" t="str">
        <f>VLOOKUP($G47,'SO OH and SO OrderNo'!$A$2:$B$143,2,FALSE)</f>
        <v>00004956</v>
      </c>
      <c r="I47">
        <f t="shared" si="0"/>
        <v>1</v>
      </c>
    </row>
    <row r="48" spans="1:9">
      <c r="A48" s="1" t="s">
        <v>8</v>
      </c>
      <c r="B48" s="1" t="s">
        <v>193</v>
      </c>
      <c r="C48" s="1" t="s">
        <v>194</v>
      </c>
      <c r="D48" s="1" t="s">
        <v>195</v>
      </c>
      <c r="E48" t="s">
        <v>193</v>
      </c>
      <c r="F48" s="1" t="s">
        <v>196</v>
      </c>
      <c r="G48" t="str">
        <f>VLOOKUP($F48,'SO and RO OH'!$A$2:$B$173,2,FALSE)</f>
        <v xml:space="preserve">20240916122716229993638 </v>
      </c>
      <c r="H48" t="str">
        <f>VLOOKUP($G48,'SO OH and SO OrderNo'!$A$2:$B$143,2,FALSE)</f>
        <v>00004985</v>
      </c>
      <c r="I48">
        <f t="shared" si="0"/>
        <v>1</v>
      </c>
    </row>
    <row r="49" spans="1:9">
      <c r="A49" s="1" t="s">
        <v>8</v>
      </c>
      <c r="B49" s="1" t="s">
        <v>197</v>
      </c>
      <c r="C49" s="1" t="s">
        <v>198</v>
      </c>
      <c r="D49" s="1" t="s">
        <v>199</v>
      </c>
      <c r="E49" t="s">
        <v>197</v>
      </c>
      <c r="F49" s="1" t="s">
        <v>200</v>
      </c>
      <c r="G49" t="str">
        <f>VLOOKUP($F49,'SO and RO OH'!$A$2:$B$173,2,FALSE)</f>
        <v xml:space="preserve">20240918145404231069984 </v>
      </c>
      <c r="H49" t="str">
        <f>VLOOKUP($G49,'SO OH and SO OrderNo'!$A$2:$B$143,2,FALSE)</f>
        <v>00005080</v>
      </c>
      <c r="I49">
        <f t="shared" si="0"/>
        <v>1</v>
      </c>
    </row>
    <row r="50" spans="1:9">
      <c r="A50" s="1" t="s">
        <v>8</v>
      </c>
      <c r="B50" s="1" t="s">
        <v>201</v>
      </c>
      <c r="C50" s="1" t="s">
        <v>202</v>
      </c>
      <c r="D50" s="1" t="s">
        <v>203</v>
      </c>
      <c r="E50" t="s">
        <v>201</v>
      </c>
      <c r="F50" s="1" t="s">
        <v>204</v>
      </c>
      <c r="G50" t="str">
        <f>VLOOKUP($F50,'SO and RO OH'!$A$2:$B$173,2,FALSE)</f>
        <v xml:space="preserve">20240916143216230001891 </v>
      </c>
      <c r="H50" t="str">
        <f>VLOOKUP($G50,'SO OH and SO OrderNo'!$A$2:$B$143,2,FALSE)</f>
        <v>00005040</v>
      </c>
      <c r="I50">
        <f t="shared" si="0"/>
        <v>2</v>
      </c>
    </row>
    <row r="51" spans="1:9">
      <c r="A51" s="1" t="s">
        <v>8</v>
      </c>
      <c r="B51" s="1" t="s">
        <v>205</v>
      </c>
      <c r="C51" s="1" t="s">
        <v>206</v>
      </c>
      <c r="D51" s="1" t="s">
        <v>207</v>
      </c>
      <c r="E51" t="s">
        <v>205</v>
      </c>
      <c r="F51" s="1" t="s">
        <v>208</v>
      </c>
      <c r="G51" t="str">
        <f>VLOOKUP($F51,'SO and RO OH'!$A$2:$B$173,2,FALSE)</f>
        <v xml:space="preserve">20240916143216230001891 </v>
      </c>
      <c r="H51" t="str">
        <f>VLOOKUP($G51,'SO OH and SO OrderNo'!$A$2:$B$143,2,FALSE)</f>
        <v>00005040</v>
      </c>
      <c r="I51">
        <f t="shared" si="0"/>
        <v>2</v>
      </c>
    </row>
    <row r="52" spans="1:9">
      <c r="A52" s="1" t="s">
        <v>8</v>
      </c>
      <c r="B52" s="1" t="s">
        <v>209</v>
      </c>
      <c r="C52" s="1" t="s">
        <v>210</v>
      </c>
      <c r="D52" s="1" t="s">
        <v>211</v>
      </c>
      <c r="E52" t="s">
        <v>209</v>
      </c>
      <c r="F52" s="1" t="s">
        <v>212</v>
      </c>
      <c r="G52" t="str">
        <f>VLOOKUP($F52,'SO and RO OH'!$A$2:$B$173,2,FALSE)</f>
        <v xml:space="preserve">20240919174905231425982 </v>
      </c>
      <c r="H52" t="str">
        <f>VLOOKUP($G52,'SO OH and SO OrderNo'!$A$2:$B$143,2,FALSE)</f>
        <v>00005116</v>
      </c>
      <c r="I52">
        <f t="shared" si="0"/>
        <v>1</v>
      </c>
    </row>
    <row r="53" spans="1:9">
      <c r="A53" s="1" t="s">
        <v>8</v>
      </c>
      <c r="B53" s="1" t="s">
        <v>213</v>
      </c>
      <c r="C53" s="1" t="s">
        <v>214</v>
      </c>
      <c r="D53" s="1" t="s">
        <v>215</v>
      </c>
      <c r="E53" t="s">
        <v>213</v>
      </c>
      <c r="F53" s="1" t="s">
        <v>216</v>
      </c>
      <c r="G53" t="str">
        <f>VLOOKUP($F53,'SO and RO OH'!$A$2:$B$173,2,FALSE)</f>
        <v xml:space="preserve">20240903121626222798382 </v>
      </c>
      <c r="H53" t="str">
        <f>VLOOKUP($G53,'SO OH and SO OrderNo'!$A$2:$B$143,2,FALSE)</f>
        <v>00004596</v>
      </c>
      <c r="I53">
        <f t="shared" si="0"/>
        <v>1</v>
      </c>
    </row>
    <row r="54" spans="1:9">
      <c r="A54" s="1" t="s">
        <v>8</v>
      </c>
      <c r="B54" s="1" t="s">
        <v>217</v>
      </c>
      <c r="C54" s="1" t="s">
        <v>218</v>
      </c>
      <c r="D54" s="1" t="s">
        <v>219</v>
      </c>
      <c r="E54" t="s">
        <v>217</v>
      </c>
      <c r="F54" s="1" t="s">
        <v>220</v>
      </c>
      <c r="G54" t="str">
        <f>VLOOKUP($F54,'SO and RO OH'!$A$2:$B$173,2,FALSE)</f>
        <v xml:space="preserve">20240909123217226174829 </v>
      </c>
      <c r="H54" t="str">
        <f>VLOOKUP($G54,'SO OH and SO OrderNo'!$A$2:$B$143,2,FALSE)</f>
        <v>00004844</v>
      </c>
      <c r="I54">
        <f t="shared" si="0"/>
        <v>1</v>
      </c>
    </row>
    <row r="55" spans="1:9">
      <c r="A55" s="1"/>
      <c r="B55" s="1"/>
      <c r="C55" s="1"/>
      <c r="D55" s="1"/>
    </row>
    <row r="56" spans="1:9">
      <c r="A56" s="1"/>
      <c r="B56" s="1"/>
      <c r="C56" s="1"/>
      <c r="D56" s="1"/>
    </row>
    <row r="57" spans="1:9">
      <c r="A57" s="1"/>
      <c r="B57" s="1"/>
      <c r="C57" s="1"/>
      <c r="D57" s="1"/>
    </row>
    <row r="58" spans="1:9">
      <c r="A58" s="1"/>
      <c r="B58" s="1"/>
      <c r="C58" s="1"/>
      <c r="D58" s="1"/>
    </row>
    <row r="59" spans="1:9">
      <c r="A59" s="1"/>
      <c r="B59" s="1"/>
      <c r="C59" s="1"/>
      <c r="D59" s="1"/>
    </row>
    <row r="60" spans="1:9">
      <c r="A60" s="1"/>
      <c r="B60" s="1"/>
      <c r="C60" s="1"/>
      <c r="D60" s="1"/>
    </row>
    <row r="61" spans="1:9">
      <c r="A61" s="1"/>
      <c r="B61" s="1"/>
      <c r="C61" s="1"/>
      <c r="D61" s="1"/>
    </row>
    <row r="62" spans="1:9">
      <c r="A62" s="1"/>
      <c r="B62" s="1"/>
      <c r="C62" s="1"/>
      <c r="D62" s="1"/>
    </row>
    <row r="63" spans="1:9">
      <c r="A63" s="1"/>
      <c r="B63" s="1"/>
      <c r="C63" s="1"/>
      <c r="D63" s="1"/>
    </row>
    <row r="64" spans="1:9">
      <c r="A64" s="1"/>
      <c r="B64" s="1"/>
      <c r="C64" s="1"/>
      <c r="D64" s="1"/>
    </row>
    <row r="65" spans="1:4">
      <c r="A65" s="1"/>
      <c r="B65" s="1"/>
      <c r="C65" s="1"/>
      <c r="D65" s="1"/>
    </row>
    <row r="66" spans="1:4">
      <c r="A66" s="1"/>
      <c r="B66" s="1"/>
      <c r="C66" s="1"/>
      <c r="D66" s="1"/>
    </row>
    <row r="67" spans="1:4">
      <c r="A67" s="1"/>
      <c r="B67" s="1"/>
      <c r="C67" s="1"/>
      <c r="D67" s="1"/>
    </row>
    <row r="68" spans="1:4">
      <c r="A68" s="1"/>
      <c r="B68" s="1"/>
      <c r="C68" s="1"/>
      <c r="D68" s="1"/>
    </row>
    <row r="69" spans="1:4">
      <c r="A69" s="1"/>
      <c r="B69" s="1"/>
      <c r="C69" s="1"/>
      <c r="D69" s="1"/>
    </row>
    <row r="70" spans="1:4">
      <c r="A70" s="1"/>
      <c r="B70" s="1"/>
      <c r="C70" s="1"/>
      <c r="D70" s="1"/>
    </row>
    <row r="71" spans="1:4">
      <c r="A71" s="1"/>
      <c r="B71" s="1"/>
      <c r="C71" s="1"/>
      <c r="D71" s="1"/>
    </row>
    <row r="72" spans="1:4">
      <c r="A72" s="1"/>
      <c r="B72" s="1"/>
      <c r="C72" s="1"/>
      <c r="D72" s="1"/>
    </row>
    <row r="73" spans="1:4">
      <c r="A73" s="1"/>
      <c r="B73" s="1"/>
      <c r="C73" s="1"/>
      <c r="D73" s="1"/>
    </row>
    <row r="74" spans="1:4">
      <c r="A74" s="1"/>
      <c r="B74" s="1"/>
      <c r="C74" s="1"/>
      <c r="D74" s="1"/>
    </row>
    <row r="75" spans="1:4">
      <c r="A75" s="1"/>
      <c r="B75" s="1"/>
      <c r="C75" s="1"/>
      <c r="D75" s="1"/>
    </row>
    <row r="76" spans="1:4">
      <c r="A76" s="1"/>
      <c r="B76" s="1"/>
      <c r="C76" s="1"/>
      <c r="D76" s="1"/>
    </row>
    <row r="77" spans="1:4">
      <c r="A77" s="1"/>
      <c r="B77" s="1"/>
      <c r="C77" s="1"/>
      <c r="D77" s="1"/>
    </row>
    <row r="78" spans="1:4">
      <c r="A78" s="1"/>
      <c r="B78" s="1"/>
      <c r="C78" s="1"/>
      <c r="D78" s="1"/>
    </row>
    <row r="79" spans="1:4">
      <c r="A79" s="1"/>
      <c r="B79" s="1"/>
      <c r="C79" s="1"/>
      <c r="D79" s="1"/>
    </row>
    <row r="80" spans="1:4">
      <c r="A80" s="1"/>
      <c r="B80" s="1"/>
      <c r="C80" s="1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>
      <c r="A87" s="1"/>
      <c r="B87" s="1"/>
      <c r="C87" s="1"/>
      <c r="D87" s="1"/>
    </row>
    <row r="88" spans="1:4">
      <c r="A88" s="1"/>
      <c r="B88" s="1"/>
      <c r="C88" s="1"/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  <row r="91" spans="1:4">
      <c r="A91" s="1"/>
      <c r="B91" s="1"/>
      <c r="C91" s="1"/>
      <c r="D91" s="1"/>
    </row>
    <row r="92" spans="1:4">
      <c r="A92" s="1"/>
      <c r="B92" s="1"/>
      <c r="C92" s="1"/>
      <c r="D92" s="1"/>
    </row>
    <row r="93" spans="1:4">
      <c r="A93" s="1"/>
      <c r="B93" s="1"/>
      <c r="C93" s="1"/>
      <c r="D93" s="1"/>
    </row>
    <row r="94" spans="1:4">
      <c r="A94" s="1"/>
      <c r="B94" s="1"/>
      <c r="C94" s="1"/>
      <c r="D94" s="1"/>
    </row>
    <row r="95" spans="1:4">
      <c r="A95" s="1"/>
      <c r="B95" s="1"/>
      <c r="C95" s="1"/>
      <c r="D95" s="1"/>
    </row>
    <row r="96" spans="1:4">
      <c r="A96" s="1"/>
      <c r="B96" s="1"/>
      <c r="C96" s="1"/>
      <c r="D96" s="1"/>
    </row>
    <row r="97" spans="1:4">
      <c r="A97" s="1"/>
      <c r="B97" s="1"/>
      <c r="C97" s="1"/>
      <c r="D97" s="1"/>
    </row>
    <row r="98" spans="1:4">
      <c r="A98" s="1"/>
      <c r="B98" s="1"/>
      <c r="C98" s="1"/>
      <c r="D98" s="1"/>
    </row>
    <row r="99" spans="1:4">
      <c r="A99" s="1"/>
      <c r="B99" s="1"/>
      <c r="C99" s="1"/>
      <c r="D99" s="1"/>
    </row>
    <row r="100" spans="1:4">
      <c r="A100" s="1"/>
      <c r="B100" s="1"/>
      <c r="C100" s="1"/>
      <c r="D100" s="1"/>
    </row>
    <row r="101" spans="1:4">
      <c r="A101" s="1"/>
      <c r="B101" s="1"/>
      <c r="C101" s="1"/>
      <c r="D101" s="1"/>
    </row>
    <row r="102" spans="1:4">
      <c r="A102" s="1"/>
      <c r="B102" s="1"/>
      <c r="C102" s="1"/>
      <c r="D102" s="1"/>
    </row>
    <row r="103" spans="1:4">
      <c r="A103" s="1"/>
      <c r="B103" s="1"/>
      <c r="C103" s="1"/>
      <c r="D103" s="1"/>
    </row>
    <row r="104" spans="1:4">
      <c r="A104" s="1"/>
      <c r="B104" s="1"/>
      <c r="C104" s="1"/>
      <c r="D104" s="1"/>
    </row>
    <row r="105" spans="1:4">
      <c r="A105" s="1"/>
      <c r="B105" s="1"/>
      <c r="C105" s="1"/>
      <c r="D105" s="1"/>
    </row>
    <row r="106" spans="1:4">
      <c r="A106" s="1"/>
      <c r="B106" s="1"/>
      <c r="C106" s="1"/>
      <c r="D106" s="1"/>
    </row>
    <row r="107" spans="1:4">
      <c r="A107" s="1"/>
      <c r="B107" s="1"/>
      <c r="C107" s="1"/>
      <c r="D107" s="1"/>
    </row>
    <row r="108" spans="1:4">
      <c r="A108" s="1"/>
      <c r="B108" s="1"/>
      <c r="C108" s="1"/>
      <c r="D108" s="1"/>
    </row>
    <row r="109" spans="1:4">
      <c r="A109" s="1"/>
      <c r="B109" s="1"/>
      <c r="C109" s="1"/>
      <c r="D109" s="1"/>
    </row>
    <row r="110" spans="1:4">
      <c r="A110" s="1"/>
      <c r="B110" s="1"/>
      <c r="C110" s="1"/>
      <c r="D110" s="1"/>
    </row>
    <row r="111" spans="1:4">
      <c r="A111" s="1"/>
      <c r="B111" s="1"/>
      <c r="C111" s="1"/>
      <c r="D111" s="1"/>
    </row>
    <row r="112" spans="1:4">
      <c r="A112" s="1"/>
      <c r="B112" s="1"/>
      <c r="C112" s="1"/>
      <c r="D112" s="1"/>
    </row>
    <row r="113" spans="1:4">
      <c r="A113" s="1"/>
      <c r="B113" s="1"/>
      <c r="C113" s="1"/>
      <c r="D113" s="1"/>
    </row>
    <row r="114" spans="1:4">
      <c r="A114" s="1"/>
      <c r="B114" s="1"/>
      <c r="C114" s="1"/>
      <c r="D114" s="1"/>
    </row>
    <row r="115" spans="1:4">
      <c r="A115" s="1"/>
      <c r="B115" s="1"/>
      <c r="C115" s="1"/>
      <c r="D115" s="1"/>
    </row>
    <row r="116" spans="1:4">
      <c r="A116" s="1"/>
      <c r="B116" s="1"/>
      <c r="C116" s="1"/>
      <c r="D116" s="1"/>
    </row>
    <row r="117" spans="1:4">
      <c r="A117" s="1"/>
      <c r="B117" s="1"/>
      <c r="C117" s="1"/>
      <c r="D117" s="1"/>
    </row>
    <row r="118" spans="1:4">
      <c r="A118" s="1"/>
      <c r="B118" s="1"/>
      <c r="C118" s="1"/>
      <c r="D118" s="1"/>
    </row>
    <row r="119" spans="1:4">
      <c r="A119" s="1"/>
      <c r="B119" s="1"/>
      <c r="C119" s="1"/>
      <c r="D119" s="1"/>
    </row>
    <row r="120" spans="1:4">
      <c r="A120" s="1"/>
      <c r="B120" s="1"/>
      <c r="C120" s="1"/>
      <c r="D120" s="1"/>
    </row>
    <row r="121" spans="1:4">
      <c r="A121" s="1"/>
      <c r="B121" s="1"/>
      <c r="C121" s="1"/>
      <c r="D121" s="1"/>
    </row>
    <row r="122" spans="1:4">
      <c r="A122" s="1"/>
      <c r="B122" s="1"/>
      <c r="C122" s="1"/>
      <c r="D122" s="1"/>
    </row>
    <row r="123" spans="1:4">
      <c r="A123" s="1"/>
      <c r="B123" s="1"/>
      <c r="C123" s="1"/>
      <c r="D123" s="1"/>
    </row>
    <row r="124" spans="1:4">
      <c r="A124" s="1"/>
      <c r="B124" s="1"/>
      <c r="C124" s="1"/>
      <c r="D124" s="1"/>
    </row>
    <row r="125" spans="1:4">
      <c r="A125" s="1"/>
      <c r="B125" s="1"/>
      <c r="C125" s="1"/>
      <c r="D125" s="1"/>
    </row>
    <row r="126" spans="1:4">
      <c r="A126" s="1"/>
      <c r="B126" s="1"/>
      <c r="C126" s="1"/>
      <c r="D126" s="1"/>
    </row>
    <row r="127" spans="1:4">
      <c r="A127" s="1"/>
      <c r="B127" s="1"/>
      <c r="C127" s="1"/>
      <c r="D127" s="1"/>
    </row>
    <row r="128" spans="1:4">
      <c r="A128" s="1"/>
      <c r="B128" s="1"/>
      <c r="C128" s="1"/>
      <c r="D128" s="1"/>
    </row>
    <row r="129" spans="1:4">
      <c r="A129" s="1"/>
      <c r="B129" s="1"/>
      <c r="C129" s="1"/>
      <c r="D129" s="1"/>
    </row>
    <row r="130" spans="1:4">
      <c r="A130" s="1"/>
      <c r="B130" s="1"/>
      <c r="C130" s="1"/>
      <c r="D130" s="1"/>
    </row>
    <row r="131" spans="1:4">
      <c r="A131" s="1"/>
      <c r="B131" s="1"/>
      <c r="C131" s="1"/>
      <c r="D131" s="1"/>
    </row>
    <row r="132" spans="1:4">
      <c r="A132" s="1"/>
      <c r="B132" s="1"/>
      <c r="C132" s="1"/>
      <c r="D132" s="1"/>
    </row>
    <row r="133" spans="1:4">
      <c r="A133" s="1"/>
      <c r="B133" s="1"/>
      <c r="C133" s="1"/>
      <c r="D133" s="1"/>
    </row>
    <row r="134" spans="1:4">
      <c r="A134" s="1"/>
      <c r="B134" s="1"/>
      <c r="C134" s="1"/>
      <c r="D134" s="1"/>
    </row>
    <row r="135" spans="1:4">
      <c r="A135" s="1"/>
      <c r="B135" s="1"/>
      <c r="C135" s="1"/>
      <c r="D135" s="1"/>
    </row>
    <row r="136" spans="1:4">
      <c r="A136" s="1"/>
      <c r="B136" s="1"/>
      <c r="C136" s="1"/>
      <c r="D136" s="1"/>
    </row>
    <row r="137" spans="1:4">
      <c r="A137" s="1"/>
      <c r="B137" s="1"/>
      <c r="C137" s="1"/>
      <c r="D137" s="1"/>
    </row>
    <row r="138" spans="1:4">
      <c r="A138" s="1"/>
      <c r="B138" s="1"/>
      <c r="C138" s="1"/>
      <c r="D138" s="1"/>
    </row>
    <row r="139" spans="1:4">
      <c r="A139" s="1"/>
      <c r="B139" s="1"/>
      <c r="C139" s="1"/>
      <c r="D139" s="1"/>
    </row>
    <row r="140" spans="1:4">
      <c r="A140" s="1"/>
      <c r="B140" s="1"/>
      <c r="C140" s="1"/>
      <c r="D140" s="1"/>
    </row>
    <row r="141" spans="1:4">
      <c r="A141" s="1"/>
      <c r="B141" s="1"/>
      <c r="C141" s="1"/>
      <c r="D141" s="1"/>
    </row>
    <row r="142" spans="1:4">
      <c r="A142" s="1"/>
      <c r="B142" s="1"/>
      <c r="C142" s="1"/>
      <c r="D142" s="1"/>
    </row>
    <row r="143" spans="1:4">
      <c r="A143" s="1"/>
      <c r="B143" s="1"/>
      <c r="C143" s="1"/>
      <c r="D143" s="1"/>
    </row>
    <row r="144" spans="1:4">
      <c r="A144" s="1"/>
      <c r="B144" s="1"/>
      <c r="C144" s="1"/>
      <c r="D144" s="1"/>
    </row>
    <row r="145" spans="1:4">
      <c r="A145" s="1"/>
      <c r="B145" s="1"/>
      <c r="C145" s="1"/>
      <c r="D145" s="1"/>
    </row>
    <row r="146" spans="1:4">
      <c r="A146" s="1"/>
      <c r="B146" s="1"/>
      <c r="C146" s="1"/>
      <c r="D146" s="1"/>
    </row>
    <row r="147" spans="1:4">
      <c r="A147" s="1"/>
      <c r="B147" s="1"/>
      <c r="C147" s="1"/>
      <c r="D147" s="1"/>
    </row>
    <row r="148" spans="1:4">
      <c r="A148" s="1"/>
      <c r="B148" s="1"/>
      <c r="C148" s="1"/>
      <c r="D148" s="1"/>
    </row>
    <row r="149" spans="1:4">
      <c r="A149" s="1"/>
      <c r="B149" s="1"/>
      <c r="C149" s="1"/>
      <c r="D149" s="1"/>
    </row>
    <row r="150" spans="1:4">
      <c r="A150" s="1"/>
      <c r="B150" s="1"/>
      <c r="C150" s="1"/>
      <c r="D150" s="1"/>
    </row>
    <row r="151" spans="1:4">
      <c r="A151" s="1"/>
      <c r="B151" s="1"/>
      <c r="C151" s="1"/>
      <c r="D151" s="1"/>
    </row>
    <row r="152" spans="1:4">
      <c r="A152" s="1"/>
      <c r="B152" s="1"/>
      <c r="C152" s="1"/>
      <c r="D152" s="1"/>
    </row>
    <row r="153" spans="1:4">
      <c r="A153" s="1"/>
      <c r="B153" s="1"/>
      <c r="C153" s="1"/>
      <c r="D153" s="1"/>
    </row>
    <row r="154" spans="1:4">
      <c r="A154" s="1"/>
      <c r="B154" s="1"/>
      <c r="C154" s="1"/>
      <c r="D154" s="1"/>
    </row>
    <row r="155" spans="1:4">
      <c r="A155" s="1"/>
      <c r="B155" s="1"/>
      <c r="C155" s="1"/>
      <c r="D155" s="1"/>
    </row>
    <row r="156" spans="1:4">
      <c r="A156" s="1"/>
      <c r="B156" s="1"/>
      <c r="C156" s="1"/>
      <c r="D15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B0F26-2B2D-4F98-86F9-3223C728EDDC}">
  <dimension ref="A1:E173"/>
  <sheetViews>
    <sheetView topLeftCell="A56" workbookViewId="0">
      <selection activeCell="A2" sqref="A2:B56"/>
    </sheetView>
  </sheetViews>
  <sheetFormatPr defaultRowHeight="15"/>
  <cols>
    <col min="1" max="1" width="27.140625" bestFit="1" customWidth="1"/>
    <col min="2" max="2" width="35.7109375" bestFit="1" customWidth="1"/>
    <col min="4" max="4" width="27.140625" bestFit="1" customWidth="1"/>
    <col min="5" max="5" width="13.28515625" bestFit="1" customWidth="1"/>
  </cols>
  <sheetData>
    <row r="1" spans="1:5">
      <c r="A1" s="1" t="s">
        <v>4</v>
      </c>
      <c r="B1" s="1" t="s">
        <v>221</v>
      </c>
      <c r="D1" s="1"/>
      <c r="E1" s="1"/>
    </row>
    <row r="2" spans="1:5">
      <c r="A2" s="1" t="s">
        <v>220</v>
      </c>
      <c r="B2" s="1" t="s">
        <v>222</v>
      </c>
      <c r="D2" s="1"/>
      <c r="E2" s="1"/>
    </row>
    <row r="3" spans="1:5">
      <c r="A3" s="1" t="s">
        <v>216</v>
      </c>
      <c r="B3" s="1" t="s">
        <v>223</v>
      </c>
      <c r="D3" s="1"/>
      <c r="E3" s="1"/>
    </row>
    <row r="4" spans="1:5">
      <c r="A4" s="1" t="s">
        <v>216</v>
      </c>
      <c r="B4" s="1" t="s">
        <v>223</v>
      </c>
      <c r="D4" s="1"/>
      <c r="E4" s="1"/>
    </row>
    <row r="5" spans="1:5">
      <c r="A5" s="1" t="s">
        <v>212</v>
      </c>
      <c r="B5" s="1" t="s">
        <v>224</v>
      </c>
      <c r="D5" s="1"/>
      <c r="E5" s="1"/>
    </row>
    <row r="6" spans="1:5">
      <c r="A6" s="1" t="s">
        <v>136</v>
      </c>
      <c r="B6" s="1" t="s">
        <v>225</v>
      </c>
      <c r="D6" s="1"/>
      <c r="E6" s="1"/>
    </row>
    <row r="7" spans="1:5">
      <c r="A7" s="1" t="s">
        <v>156</v>
      </c>
      <c r="B7" s="1" t="s">
        <v>226</v>
      </c>
      <c r="D7" s="1"/>
      <c r="E7" s="1"/>
    </row>
    <row r="8" spans="1:5">
      <c r="A8" s="1" t="s">
        <v>208</v>
      </c>
      <c r="B8" s="1" t="s">
        <v>227</v>
      </c>
      <c r="D8" s="1"/>
      <c r="E8" s="1"/>
    </row>
    <row r="9" spans="1:5">
      <c r="A9" s="1" t="s">
        <v>204</v>
      </c>
      <c r="B9" s="1" t="s">
        <v>227</v>
      </c>
      <c r="D9" s="1"/>
      <c r="E9" s="1"/>
    </row>
    <row r="10" spans="1:5">
      <c r="A10" s="1" t="s">
        <v>152</v>
      </c>
      <c r="B10" s="1" t="s">
        <v>228</v>
      </c>
      <c r="D10" s="1"/>
      <c r="E10" s="1"/>
    </row>
    <row r="11" spans="1:5">
      <c r="A11" s="1" t="s">
        <v>124</v>
      </c>
      <c r="B11" s="1" t="s">
        <v>229</v>
      </c>
      <c r="D11" s="1"/>
      <c r="E11" s="1"/>
    </row>
    <row r="12" spans="1:5">
      <c r="A12" s="1" t="s">
        <v>116</v>
      </c>
      <c r="B12" s="1" t="s">
        <v>230</v>
      </c>
      <c r="D12" s="1"/>
      <c r="E12" s="1"/>
    </row>
    <row r="13" spans="1:5">
      <c r="A13" s="1" t="s">
        <v>120</v>
      </c>
      <c r="B13" s="1" t="s">
        <v>231</v>
      </c>
      <c r="D13" s="1"/>
      <c r="E13" s="1"/>
    </row>
    <row r="14" spans="1:5">
      <c r="A14" s="1" t="s">
        <v>200</v>
      </c>
      <c r="B14" s="1" t="s">
        <v>232</v>
      </c>
      <c r="D14" s="1"/>
      <c r="E14" s="1"/>
    </row>
    <row r="15" spans="1:5">
      <c r="A15" s="1" t="s">
        <v>196</v>
      </c>
      <c r="B15" s="1" t="s">
        <v>233</v>
      </c>
      <c r="D15" s="1"/>
      <c r="E15" s="1"/>
    </row>
    <row r="16" spans="1:5">
      <c r="A16" s="1" t="s">
        <v>192</v>
      </c>
      <c r="B16" s="1" t="s">
        <v>234</v>
      </c>
      <c r="D16" s="1"/>
      <c r="E16" s="1"/>
    </row>
    <row r="17" spans="1:5">
      <c r="A17" s="1" t="s">
        <v>188</v>
      </c>
      <c r="B17" s="1" t="s">
        <v>235</v>
      </c>
      <c r="D17" s="1"/>
      <c r="E17" s="1"/>
    </row>
    <row r="18" spans="1:5">
      <c r="A18" s="1" t="s">
        <v>184</v>
      </c>
      <c r="B18" s="1" t="s">
        <v>236</v>
      </c>
      <c r="D18" s="1"/>
      <c r="E18" s="1"/>
    </row>
    <row r="19" spans="1:5">
      <c r="A19" s="1" t="s">
        <v>180</v>
      </c>
      <c r="B19" s="1" t="s">
        <v>237</v>
      </c>
      <c r="D19" s="1"/>
      <c r="E19" s="1"/>
    </row>
    <row r="20" spans="1:5">
      <c r="A20" s="1" t="s">
        <v>176</v>
      </c>
      <c r="B20" s="1" t="s">
        <v>237</v>
      </c>
      <c r="D20" s="1"/>
      <c r="E20" s="1"/>
    </row>
    <row r="21" spans="1:5">
      <c r="A21" s="1" t="s">
        <v>172</v>
      </c>
      <c r="B21" s="1" t="s">
        <v>238</v>
      </c>
      <c r="D21" s="1"/>
      <c r="E21" s="1"/>
    </row>
    <row r="22" spans="1:5">
      <c r="A22" s="1" t="s">
        <v>148</v>
      </c>
      <c r="B22" s="1" t="s">
        <v>239</v>
      </c>
      <c r="D22" s="1"/>
      <c r="E22" s="1"/>
    </row>
    <row r="23" spans="1:5">
      <c r="A23" s="1" t="s">
        <v>144</v>
      </c>
      <c r="B23" s="1" t="s">
        <v>240</v>
      </c>
      <c r="D23" s="1"/>
      <c r="E23" s="1"/>
    </row>
    <row r="24" spans="1:5">
      <c r="A24" s="1" t="s">
        <v>140</v>
      </c>
      <c r="B24" s="1" t="s">
        <v>240</v>
      </c>
      <c r="D24" s="1"/>
      <c r="E24" s="1"/>
    </row>
    <row r="25" spans="1:5">
      <c r="A25" s="1" t="s">
        <v>168</v>
      </c>
      <c r="B25" s="1" t="s">
        <v>241</v>
      </c>
      <c r="D25" s="1"/>
      <c r="E25" s="1"/>
    </row>
    <row r="26" spans="1:5">
      <c r="A26" s="1" t="s">
        <v>164</v>
      </c>
      <c r="B26" s="1" t="s">
        <v>242</v>
      </c>
      <c r="D26" s="1"/>
      <c r="E26" s="1"/>
    </row>
    <row r="27" spans="1:5">
      <c r="A27" s="1" t="s">
        <v>160</v>
      </c>
      <c r="B27" s="1" t="s">
        <v>243</v>
      </c>
      <c r="D27" s="1"/>
      <c r="E27" s="1"/>
    </row>
    <row r="28" spans="1:5">
      <c r="A28" s="1" t="s">
        <v>132</v>
      </c>
      <c r="B28" s="1" t="s">
        <v>244</v>
      </c>
      <c r="D28" s="1"/>
      <c r="E28" s="1"/>
    </row>
    <row r="29" spans="1:5">
      <c r="A29" s="1" t="s">
        <v>128</v>
      </c>
      <c r="B29" s="1" t="s">
        <v>245</v>
      </c>
      <c r="D29" s="1"/>
      <c r="E29" s="1"/>
    </row>
    <row r="30" spans="1:5">
      <c r="A30" s="1" t="s">
        <v>112</v>
      </c>
      <c r="B30" s="1" t="s">
        <v>246</v>
      </c>
      <c r="D30" s="1"/>
      <c r="E30" s="1"/>
    </row>
    <row r="31" spans="1:5">
      <c r="A31" s="1" t="s">
        <v>96</v>
      </c>
      <c r="B31" s="1" t="s">
        <v>247</v>
      </c>
      <c r="D31" s="1"/>
      <c r="E31" s="1"/>
    </row>
    <row r="32" spans="1:5">
      <c r="A32" s="1" t="s">
        <v>104</v>
      </c>
      <c r="B32" s="1" t="s">
        <v>248</v>
      </c>
      <c r="D32" s="1"/>
      <c r="E32" s="1"/>
    </row>
    <row r="33" spans="1:5">
      <c r="A33" s="1" t="s">
        <v>108</v>
      </c>
      <c r="B33" s="1" t="s">
        <v>249</v>
      </c>
      <c r="D33" s="1"/>
      <c r="E33" s="1"/>
    </row>
    <row r="34" spans="1:5">
      <c r="A34" s="1" t="s">
        <v>100</v>
      </c>
      <c r="B34" s="1" t="s">
        <v>250</v>
      </c>
      <c r="D34" s="1"/>
      <c r="E34" s="1"/>
    </row>
    <row r="35" spans="1:5">
      <c r="A35" s="1" t="s">
        <v>100</v>
      </c>
      <c r="B35" s="1" t="s">
        <v>250</v>
      </c>
      <c r="D35" s="1"/>
      <c r="E35" s="1"/>
    </row>
    <row r="36" spans="1:5">
      <c r="A36" s="1" t="s">
        <v>72</v>
      </c>
      <c r="B36" s="1" t="s">
        <v>251</v>
      </c>
      <c r="D36" s="1"/>
      <c r="E36" s="1"/>
    </row>
    <row r="37" spans="1:5">
      <c r="A37" s="1" t="s">
        <v>88</v>
      </c>
      <c r="B37" s="1" t="s">
        <v>252</v>
      </c>
      <c r="D37" s="1"/>
      <c r="E37" s="1"/>
    </row>
    <row r="38" spans="1:5">
      <c r="A38" s="1" t="s">
        <v>92</v>
      </c>
      <c r="B38" s="1" t="s">
        <v>253</v>
      </c>
      <c r="D38" s="1"/>
      <c r="E38" s="1"/>
    </row>
    <row r="39" spans="1:5">
      <c r="A39" s="1" t="s">
        <v>84</v>
      </c>
      <c r="B39" s="1" t="s">
        <v>254</v>
      </c>
      <c r="D39" s="1"/>
      <c r="E39" s="1"/>
    </row>
    <row r="40" spans="1:5">
      <c r="A40" s="1" t="s">
        <v>80</v>
      </c>
      <c r="B40" s="1" t="s">
        <v>255</v>
      </c>
      <c r="D40" s="1"/>
      <c r="E40" s="1"/>
    </row>
    <row r="41" spans="1:5">
      <c r="A41" s="1" t="s">
        <v>12</v>
      </c>
      <c r="B41" s="1" t="s">
        <v>256</v>
      </c>
      <c r="D41" s="1"/>
      <c r="E41" s="1"/>
    </row>
    <row r="42" spans="1:5">
      <c r="A42" s="1" t="s">
        <v>76</v>
      </c>
      <c r="B42" s="1" t="s">
        <v>257</v>
      </c>
      <c r="D42" s="1"/>
      <c r="E42" s="1"/>
    </row>
    <row r="43" spans="1:5">
      <c r="A43" s="1" t="s">
        <v>68</v>
      </c>
      <c r="B43" s="1" t="s">
        <v>258</v>
      </c>
      <c r="D43" s="1"/>
      <c r="E43" s="1"/>
    </row>
    <row r="44" spans="1:5">
      <c r="A44" s="1" t="s">
        <v>64</v>
      </c>
      <c r="B44" s="1" t="s">
        <v>258</v>
      </c>
      <c r="D44" s="1"/>
      <c r="E44" s="1"/>
    </row>
    <row r="45" spans="1:5">
      <c r="A45" s="1" t="s">
        <v>40</v>
      </c>
      <c r="B45" s="1" t="s">
        <v>259</v>
      </c>
      <c r="D45" s="1"/>
      <c r="E45" s="1"/>
    </row>
    <row r="46" spans="1:5">
      <c r="A46" s="1" t="s">
        <v>32</v>
      </c>
      <c r="B46" s="1" t="s">
        <v>260</v>
      </c>
      <c r="D46" s="1"/>
      <c r="E46" s="1"/>
    </row>
    <row r="47" spans="1:5">
      <c r="A47" s="1" t="s">
        <v>60</v>
      </c>
      <c r="B47" s="1" t="s">
        <v>261</v>
      </c>
      <c r="D47" s="1"/>
      <c r="E47" s="1"/>
    </row>
    <row r="48" spans="1:5">
      <c r="A48" s="1" t="s">
        <v>56</v>
      </c>
      <c r="B48" s="1" t="s">
        <v>262</v>
      </c>
      <c r="D48" s="1"/>
      <c r="E48" s="1"/>
    </row>
    <row r="49" spans="1:5">
      <c r="A49" s="1" t="s">
        <v>36</v>
      </c>
      <c r="B49" s="1" t="s">
        <v>263</v>
      </c>
      <c r="D49" s="1"/>
      <c r="E49" s="1"/>
    </row>
    <row r="50" spans="1:5">
      <c r="A50" s="1" t="s">
        <v>20</v>
      </c>
      <c r="B50" s="1" t="s">
        <v>264</v>
      </c>
      <c r="D50" s="1"/>
      <c r="E50" s="1"/>
    </row>
    <row r="51" spans="1:5">
      <c r="A51" s="1" t="s">
        <v>44</v>
      </c>
      <c r="B51" s="1" t="s">
        <v>265</v>
      </c>
      <c r="D51" s="1"/>
      <c r="E51" s="1"/>
    </row>
    <row r="52" spans="1:5">
      <c r="A52" s="1" t="s">
        <v>28</v>
      </c>
      <c r="B52" s="1" t="s">
        <v>266</v>
      </c>
      <c r="D52" s="1"/>
      <c r="E52" s="1"/>
    </row>
    <row r="53" spans="1:5">
      <c r="A53" s="1" t="s">
        <v>52</v>
      </c>
      <c r="B53" s="1" t="s">
        <v>267</v>
      </c>
      <c r="D53" s="1"/>
      <c r="E53" s="1"/>
    </row>
    <row r="54" spans="1:5">
      <c r="A54" s="1" t="s">
        <v>48</v>
      </c>
      <c r="B54" s="1" t="s">
        <v>268</v>
      </c>
      <c r="D54" s="1"/>
      <c r="E54" s="1"/>
    </row>
    <row r="55" spans="1:5">
      <c r="A55" s="1" t="s">
        <v>16</v>
      </c>
      <c r="B55" s="1" t="s">
        <v>269</v>
      </c>
      <c r="D55" s="1"/>
      <c r="E55" s="1"/>
    </row>
    <row r="56" spans="1:5">
      <c r="A56" s="1" t="s">
        <v>24</v>
      </c>
      <c r="B56" s="1" t="s">
        <v>270</v>
      </c>
      <c r="D56" s="1"/>
      <c r="E56" s="1"/>
    </row>
    <row r="57" spans="1:5">
      <c r="A57" s="1"/>
      <c r="B57" s="1"/>
      <c r="D57" s="1"/>
      <c r="E57" s="1"/>
    </row>
    <row r="58" spans="1:5">
      <c r="A58" s="1"/>
      <c r="B58" s="1"/>
      <c r="D58" s="1"/>
      <c r="E58" s="1"/>
    </row>
    <row r="59" spans="1:5">
      <c r="A59" s="1"/>
      <c r="B59" s="1"/>
      <c r="D59" s="1"/>
      <c r="E59" s="1"/>
    </row>
    <row r="60" spans="1:5">
      <c r="A60" s="1"/>
      <c r="B60" s="1"/>
      <c r="D60" s="1"/>
      <c r="E60" s="1"/>
    </row>
    <row r="61" spans="1:5">
      <c r="A61" s="1"/>
      <c r="B61" s="1"/>
      <c r="D61" s="1"/>
      <c r="E61" s="1"/>
    </row>
    <row r="62" spans="1:5">
      <c r="A62" s="1"/>
      <c r="B62" s="1"/>
      <c r="D62" s="1"/>
      <c r="E62" s="1"/>
    </row>
    <row r="63" spans="1:5">
      <c r="A63" s="1"/>
      <c r="B63" s="1"/>
      <c r="D63" s="1"/>
      <c r="E63" s="1"/>
    </row>
    <row r="64" spans="1:5">
      <c r="A64" s="1"/>
      <c r="B64" s="1"/>
      <c r="D64" s="1"/>
      <c r="E64" s="1"/>
    </row>
    <row r="65" spans="1:5">
      <c r="A65" s="1"/>
      <c r="B65" s="1"/>
      <c r="D65" s="1"/>
      <c r="E65" s="1"/>
    </row>
    <row r="66" spans="1:5">
      <c r="A66" s="1"/>
      <c r="B66" s="1"/>
      <c r="D66" s="1"/>
      <c r="E66" s="1"/>
    </row>
    <row r="67" spans="1:5">
      <c r="A67" s="1"/>
      <c r="B67" s="1"/>
      <c r="D67" s="1"/>
      <c r="E67" s="1"/>
    </row>
    <row r="68" spans="1:5">
      <c r="A68" s="1"/>
      <c r="B68" s="1"/>
      <c r="D68" s="1"/>
      <c r="E68" s="1"/>
    </row>
    <row r="69" spans="1:5">
      <c r="A69" s="1"/>
      <c r="B69" s="1"/>
      <c r="D69" s="1"/>
      <c r="E69" s="1"/>
    </row>
    <row r="70" spans="1:5">
      <c r="A70" s="1"/>
      <c r="B70" s="1"/>
      <c r="D70" s="1"/>
      <c r="E70" s="1"/>
    </row>
    <row r="71" spans="1:5">
      <c r="A71" s="1"/>
      <c r="B71" s="1"/>
      <c r="D71" s="1"/>
      <c r="E71" s="1"/>
    </row>
    <row r="72" spans="1:5">
      <c r="A72" s="1"/>
      <c r="B72" s="1"/>
      <c r="D72" s="1"/>
      <c r="E72" s="1"/>
    </row>
    <row r="73" spans="1:5">
      <c r="A73" s="1"/>
      <c r="B73" s="1"/>
      <c r="D73" s="1"/>
      <c r="E73" s="1"/>
    </row>
    <row r="74" spans="1:5">
      <c r="A74" s="1"/>
      <c r="B74" s="1"/>
      <c r="D74" s="1"/>
      <c r="E74" s="1"/>
    </row>
    <row r="75" spans="1:5">
      <c r="A75" s="1"/>
      <c r="B75" s="1"/>
      <c r="D75" s="1"/>
      <c r="E75" s="1"/>
    </row>
    <row r="76" spans="1:5">
      <c r="A76" s="1"/>
      <c r="B76" s="1"/>
      <c r="D76" s="1"/>
      <c r="E76" s="1"/>
    </row>
    <row r="77" spans="1:5">
      <c r="A77" s="1"/>
      <c r="B77" s="1"/>
      <c r="D77" s="1"/>
      <c r="E77" s="1"/>
    </row>
    <row r="78" spans="1:5">
      <c r="A78" s="1"/>
      <c r="B78" s="1"/>
      <c r="D78" s="1"/>
      <c r="E78" s="1"/>
    </row>
    <row r="79" spans="1:5">
      <c r="A79" s="1"/>
      <c r="B79" s="1"/>
      <c r="D79" s="1"/>
      <c r="E79" s="1"/>
    </row>
    <row r="80" spans="1:5">
      <c r="A80" s="1"/>
      <c r="B80" s="1"/>
      <c r="D80" s="1"/>
      <c r="E80" s="1"/>
    </row>
    <row r="81" spans="1:5">
      <c r="A81" s="1"/>
      <c r="B81" s="1"/>
      <c r="D81" s="1"/>
      <c r="E81" s="1"/>
    </row>
    <row r="82" spans="1:5">
      <c r="A82" s="1"/>
      <c r="B82" s="1"/>
      <c r="D82" s="1"/>
      <c r="E82" s="1"/>
    </row>
    <row r="83" spans="1:5">
      <c r="A83" s="1"/>
      <c r="B83" s="1"/>
      <c r="D83" s="1"/>
      <c r="E83" s="1"/>
    </row>
    <row r="84" spans="1:5">
      <c r="A84" s="1"/>
      <c r="B84" s="1"/>
      <c r="D84" s="1"/>
      <c r="E84" s="1"/>
    </row>
    <row r="85" spans="1:5">
      <c r="A85" s="1"/>
      <c r="B85" s="1"/>
      <c r="D85" s="1"/>
      <c r="E85" s="1"/>
    </row>
    <row r="86" spans="1:5">
      <c r="A86" s="1"/>
      <c r="B86" s="1"/>
      <c r="D86" s="1"/>
      <c r="E86" s="1"/>
    </row>
    <row r="87" spans="1:5">
      <c r="A87" s="1"/>
      <c r="B87" s="1"/>
      <c r="D87" s="1"/>
      <c r="E87" s="1"/>
    </row>
    <row r="88" spans="1:5">
      <c r="A88" s="1"/>
      <c r="B88" s="1"/>
      <c r="D88" s="1"/>
      <c r="E88" s="1"/>
    </row>
    <row r="89" spans="1:5">
      <c r="A89" s="1"/>
      <c r="B89" s="1"/>
      <c r="D89" s="1"/>
      <c r="E89" s="1"/>
    </row>
    <row r="90" spans="1:5">
      <c r="A90" s="1"/>
      <c r="B90" s="1"/>
      <c r="D90" s="1"/>
      <c r="E90" s="1"/>
    </row>
    <row r="91" spans="1:5">
      <c r="A91" s="1"/>
      <c r="B91" s="1"/>
      <c r="D91" s="1"/>
      <c r="E91" s="1"/>
    </row>
    <row r="92" spans="1:5">
      <c r="A92" s="1"/>
      <c r="B92" s="1"/>
      <c r="D92" s="1"/>
      <c r="E92" s="1"/>
    </row>
    <row r="93" spans="1:5">
      <c r="A93" s="1"/>
      <c r="B93" s="1"/>
      <c r="D93" s="1"/>
      <c r="E93" s="1"/>
    </row>
    <row r="94" spans="1:5">
      <c r="A94" s="1"/>
      <c r="B94" s="1"/>
      <c r="D94" s="1"/>
      <c r="E94" s="1"/>
    </row>
    <row r="95" spans="1:5">
      <c r="A95" s="1"/>
      <c r="B95" s="1"/>
      <c r="D95" s="1"/>
      <c r="E95" s="1"/>
    </row>
    <row r="96" spans="1:5">
      <c r="A96" s="1"/>
      <c r="B96" s="1"/>
      <c r="D96" s="1"/>
      <c r="E96" s="1"/>
    </row>
    <row r="97" spans="1:5">
      <c r="A97" s="1"/>
      <c r="B97" s="1"/>
      <c r="D97" s="1"/>
      <c r="E97" s="1"/>
    </row>
    <row r="98" spans="1:5">
      <c r="A98" s="1"/>
      <c r="B98" s="1"/>
      <c r="D98" s="1"/>
      <c r="E98" s="1"/>
    </row>
    <row r="99" spans="1:5">
      <c r="A99" s="1"/>
      <c r="B99" s="1"/>
      <c r="D99" s="1"/>
      <c r="E99" s="1"/>
    </row>
    <row r="100" spans="1:5">
      <c r="A100" s="1"/>
      <c r="B100" s="1"/>
      <c r="D100" s="1"/>
      <c r="E100" s="1"/>
    </row>
    <row r="101" spans="1:5">
      <c r="A101" s="1"/>
      <c r="B101" s="1"/>
      <c r="D101" s="1"/>
      <c r="E101" s="1"/>
    </row>
    <row r="102" spans="1:5">
      <c r="A102" s="1"/>
      <c r="B102" s="1"/>
      <c r="D102" s="1"/>
      <c r="E102" s="1"/>
    </row>
    <row r="103" spans="1:5">
      <c r="A103" s="1"/>
      <c r="B103" s="1"/>
      <c r="D103" s="1"/>
      <c r="E103" s="1"/>
    </row>
    <row r="104" spans="1:5">
      <c r="A104" s="1"/>
      <c r="B104" s="1"/>
      <c r="D104" s="1"/>
      <c r="E104" s="1"/>
    </row>
    <row r="105" spans="1:5">
      <c r="A105" s="1"/>
      <c r="B105" s="1"/>
      <c r="D105" s="1"/>
      <c r="E105" s="1"/>
    </row>
    <row r="106" spans="1:5">
      <c r="A106" s="1"/>
      <c r="B106" s="1"/>
      <c r="D106" s="1"/>
      <c r="E106" s="1"/>
    </row>
    <row r="107" spans="1:5">
      <c r="A107" s="1"/>
      <c r="B107" s="1"/>
      <c r="D107" s="1"/>
      <c r="E107" s="1"/>
    </row>
    <row r="108" spans="1:5">
      <c r="A108" s="1"/>
      <c r="B108" s="1"/>
      <c r="D108" s="1"/>
      <c r="E108" s="1"/>
    </row>
    <row r="109" spans="1:5">
      <c r="A109" s="1"/>
      <c r="B109" s="1"/>
      <c r="D109" s="1"/>
      <c r="E109" s="1"/>
    </row>
    <row r="110" spans="1:5">
      <c r="A110" s="1"/>
      <c r="B110" s="1"/>
      <c r="D110" s="1"/>
      <c r="E110" s="1"/>
    </row>
    <row r="111" spans="1:5">
      <c r="A111" s="1"/>
      <c r="B111" s="1"/>
      <c r="D111" s="1"/>
      <c r="E111" s="1"/>
    </row>
    <row r="112" spans="1:5">
      <c r="A112" s="1"/>
      <c r="B112" s="1"/>
      <c r="D112" s="1"/>
      <c r="E112" s="1"/>
    </row>
    <row r="113" spans="1:5">
      <c r="A113" s="1"/>
      <c r="B113" s="1"/>
      <c r="D113" s="1"/>
      <c r="E113" s="1"/>
    </row>
    <row r="114" spans="1:5">
      <c r="A114" s="1"/>
      <c r="B114" s="1"/>
      <c r="D114" s="1"/>
      <c r="E114" s="1"/>
    </row>
    <row r="115" spans="1:5">
      <c r="A115" s="1"/>
      <c r="B115" s="1"/>
      <c r="D115" s="1"/>
      <c r="E115" s="1"/>
    </row>
    <row r="116" spans="1:5">
      <c r="A116" s="1"/>
      <c r="B116" s="1"/>
      <c r="D116" s="1"/>
      <c r="E116" s="1"/>
    </row>
    <row r="117" spans="1:5">
      <c r="A117" s="1"/>
      <c r="B117" s="1"/>
      <c r="D117" s="1"/>
      <c r="E117" s="1"/>
    </row>
    <row r="118" spans="1:5">
      <c r="A118" s="1"/>
      <c r="B118" s="1"/>
      <c r="D118" s="1"/>
      <c r="E118" s="1"/>
    </row>
    <row r="119" spans="1:5">
      <c r="A119" s="1"/>
      <c r="B119" s="1"/>
      <c r="D119" s="1"/>
      <c r="E119" s="1"/>
    </row>
    <row r="120" spans="1:5">
      <c r="A120" s="1"/>
      <c r="B120" s="1"/>
      <c r="D120" s="1"/>
      <c r="E120" s="1"/>
    </row>
    <row r="121" spans="1:5">
      <c r="A121" s="1"/>
      <c r="B121" s="1"/>
      <c r="D121" s="1"/>
      <c r="E121" s="1"/>
    </row>
    <row r="122" spans="1:5">
      <c r="A122" s="1"/>
      <c r="B122" s="1"/>
      <c r="D122" s="1"/>
      <c r="E122" s="1"/>
    </row>
    <row r="123" spans="1:5">
      <c r="A123" s="1"/>
      <c r="B123" s="1"/>
      <c r="D123" s="1"/>
      <c r="E123" s="1"/>
    </row>
    <row r="124" spans="1:5">
      <c r="A124" s="1"/>
      <c r="B124" s="1"/>
      <c r="D124" s="1"/>
      <c r="E124" s="1"/>
    </row>
    <row r="125" spans="1:5">
      <c r="A125" s="1"/>
      <c r="B125" s="1"/>
      <c r="D125" s="1"/>
      <c r="E125" s="1"/>
    </row>
    <row r="126" spans="1:5">
      <c r="A126" s="1"/>
      <c r="B126" s="1"/>
      <c r="D126" s="1"/>
      <c r="E126" s="1"/>
    </row>
    <row r="127" spans="1:5">
      <c r="A127" s="1"/>
      <c r="B127" s="1"/>
      <c r="D127" s="1"/>
      <c r="E127" s="1"/>
    </row>
    <row r="128" spans="1:5">
      <c r="A128" s="1"/>
      <c r="B128" s="1"/>
      <c r="D128" s="1"/>
      <c r="E128" s="1"/>
    </row>
    <row r="129" spans="1:5">
      <c r="A129" s="1"/>
      <c r="B129" s="1"/>
      <c r="D129" s="1"/>
      <c r="E129" s="1"/>
    </row>
    <row r="130" spans="1:5">
      <c r="A130" s="1"/>
      <c r="B130" s="1"/>
      <c r="D130" s="1"/>
      <c r="E130" s="1"/>
    </row>
    <row r="131" spans="1:5">
      <c r="A131" s="1"/>
      <c r="B131" s="1"/>
      <c r="D131" s="1"/>
      <c r="E131" s="1"/>
    </row>
    <row r="132" spans="1:5">
      <c r="A132" s="1"/>
      <c r="B132" s="1"/>
      <c r="D132" s="1"/>
      <c r="E132" s="1"/>
    </row>
    <row r="133" spans="1:5">
      <c r="A133" s="1"/>
      <c r="B133" s="1"/>
      <c r="D133" s="1"/>
      <c r="E133" s="1"/>
    </row>
    <row r="134" spans="1:5">
      <c r="A134" s="1"/>
      <c r="B134" s="1"/>
      <c r="D134" s="1"/>
      <c r="E134" s="1"/>
    </row>
    <row r="135" spans="1:5">
      <c r="A135" s="1"/>
      <c r="B135" s="1"/>
      <c r="D135" s="1"/>
      <c r="E135" s="1"/>
    </row>
    <row r="136" spans="1:5">
      <c r="A136" s="1"/>
      <c r="B136" s="1"/>
      <c r="D136" s="1"/>
      <c r="E136" s="1"/>
    </row>
    <row r="137" spans="1:5">
      <c r="A137" s="1"/>
      <c r="B137" s="1"/>
      <c r="D137" s="1"/>
      <c r="E137" s="1"/>
    </row>
    <row r="138" spans="1:5">
      <c r="A138" s="1"/>
      <c r="B138" s="1"/>
      <c r="D138" s="1"/>
      <c r="E138" s="1"/>
    </row>
    <row r="139" spans="1:5">
      <c r="A139" s="1"/>
      <c r="B139" s="1"/>
      <c r="D139" s="1"/>
      <c r="E139" s="1"/>
    </row>
    <row r="140" spans="1:5">
      <c r="A140" s="1"/>
      <c r="B140" s="1"/>
      <c r="D140" s="1"/>
      <c r="E140" s="1"/>
    </row>
    <row r="141" spans="1:5">
      <c r="A141" s="1"/>
      <c r="B141" s="1"/>
      <c r="D141" s="1"/>
      <c r="E141" s="1"/>
    </row>
    <row r="142" spans="1:5">
      <c r="A142" s="1"/>
      <c r="B142" s="1"/>
      <c r="D142" s="1"/>
      <c r="E142" s="1"/>
    </row>
    <row r="143" spans="1:5">
      <c r="A143" s="1"/>
      <c r="B143" s="1"/>
      <c r="D143" s="1"/>
      <c r="E143" s="1"/>
    </row>
    <row r="144" spans="1:5">
      <c r="A144" s="1"/>
      <c r="B144" s="1"/>
      <c r="D144" s="1"/>
      <c r="E144" s="1"/>
    </row>
    <row r="145" spans="1:5">
      <c r="A145" s="1"/>
      <c r="B145" s="1"/>
      <c r="D145" s="1"/>
      <c r="E145" s="1"/>
    </row>
    <row r="146" spans="1:5">
      <c r="A146" s="1"/>
      <c r="B146" s="1"/>
      <c r="D146" s="1"/>
      <c r="E146" s="1"/>
    </row>
    <row r="147" spans="1:5">
      <c r="A147" s="1"/>
      <c r="B147" s="1"/>
      <c r="D147" s="1"/>
      <c r="E147" s="1"/>
    </row>
    <row r="148" spans="1:5">
      <c r="A148" s="1"/>
      <c r="B148" s="1"/>
      <c r="D148" s="1"/>
      <c r="E148" s="1"/>
    </row>
    <row r="149" spans="1:5">
      <c r="A149" s="1"/>
      <c r="B149" s="1"/>
      <c r="D149" s="1"/>
      <c r="E149" s="1"/>
    </row>
    <row r="150" spans="1:5">
      <c r="A150" s="1"/>
      <c r="B150" s="1"/>
      <c r="D150" s="1"/>
      <c r="E150" s="1"/>
    </row>
    <row r="151" spans="1:5">
      <c r="A151" s="1"/>
      <c r="B151" s="1"/>
      <c r="D151" s="1"/>
      <c r="E151" s="1"/>
    </row>
    <row r="152" spans="1:5">
      <c r="A152" s="1"/>
      <c r="B152" s="1"/>
      <c r="D152" s="1"/>
      <c r="E152" s="1"/>
    </row>
    <row r="153" spans="1:5">
      <c r="A153" s="1"/>
      <c r="B153" s="1"/>
      <c r="D153" s="1"/>
      <c r="E153" s="1"/>
    </row>
    <row r="154" spans="1:5">
      <c r="A154" s="1"/>
      <c r="B154" s="1"/>
      <c r="D154" s="1"/>
      <c r="E154" s="1"/>
    </row>
    <row r="155" spans="1:5">
      <c r="A155" s="1"/>
      <c r="B155" s="1"/>
    </row>
    <row r="156" spans="1:5">
      <c r="A156" s="1"/>
      <c r="B156" s="1"/>
    </row>
    <row r="157" spans="1:5">
      <c r="A157" s="1"/>
      <c r="B157" s="1"/>
    </row>
    <row r="158" spans="1:5">
      <c r="A158" s="1"/>
      <c r="B158" s="1"/>
    </row>
    <row r="159" spans="1:5">
      <c r="A159" s="1"/>
      <c r="B159" s="1"/>
    </row>
    <row r="160" spans="1:5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DAEE4-8016-4211-9A59-9AE24F90FB4A}">
  <dimension ref="A1:B50"/>
  <sheetViews>
    <sheetView workbookViewId="0">
      <selection activeCell="A2" sqref="A2:B50"/>
    </sheetView>
  </sheetViews>
  <sheetFormatPr defaultRowHeight="15"/>
  <cols>
    <col min="1" max="1" width="27.140625" style="1" bestFit="1" customWidth="1"/>
    <col min="2" max="2" width="13.28515625" bestFit="1" customWidth="1"/>
  </cols>
  <sheetData>
    <row r="1" spans="1:2">
      <c r="A1" s="1" t="s">
        <v>271</v>
      </c>
      <c r="B1" t="s">
        <v>1</v>
      </c>
    </row>
    <row r="2" spans="1:2">
      <c r="A2" s="1" t="s">
        <v>267</v>
      </c>
      <c r="B2" s="1" t="s">
        <v>272</v>
      </c>
    </row>
    <row r="3" spans="1:2">
      <c r="A3" s="1" t="s">
        <v>265</v>
      </c>
      <c r="B3" s="1" t="s">
        <v>273</v>
      </c>
    </row>
    <row r="4" spans="1:2">
      <c r="A4" s="1" t="s">
        <v>264</v>
      </c>
      <c r="B4" s="1" t="s">
        <v>274</v>
      </c>
    </row>
    <row r="5" spans="1:2">
      <c r="A5" s="1" t="s">
        <v>251</v>
      </c>
      <c r="B5" s="1" t="s">
        <v>275</v>
      </c>
    </row>
    <row r="6" spans="1:2">
      <c r="A6" s="1" t="s">
        <v>222</v>
      </c>
      <c r="B6" s="1" t="s">
        <v>276</v>
      </c>
    </row>
    <row r="7" spans="1:2">
      <c r="A7" s="1" t="s">
        <v>223</v>
      </c>
      <c r="B7" s="1" t="s">
        <v>277</v>
      </c>
    </row>
    <row r="8" spans="1:2">
      <c r="A8" s="1" t="s">
        <v>224</v>
      </c>
      <c r="B8" s="1" t="s">
        <v>278</v>
      </c>
    </row>
    <row r="9" spans="1:2">
      <c r="A9" s="1" t="s">
        <v>225</v>
      </c>
      <c r="B9" s="1" t="s">
        <v>279</v>
      </c>
    </row>
    <row r="10" spans="1:2">
      <c r="A10" s="1" t="s">
        <v>226</v>
      </c>
      <c r="B10" s="1" t="s">
        <v>280</v>
      </c>
    </row>
    <row r="11" spans="1:2">
      <c r="A11" s="1" t="s">
        <v>227</v>
      </c>
      <c r="B11" s="1" t="s">
        <v>281</v>
      </c>
    </row>
    <row r="12" spans="1:2">
      <c r="A12" s="1" t="s">
        <v>228</v>
      </c>
      <c r="B12" s="1" t="s">
        <v>282</v>
      </c>
    </row>
    <row r="13" spans="1:2">
      <c r="A13" s="1" t="s">
        <v>229</v>
      </c>
      <c r="B13" s="1" t="s">
        <v>283</v>
      </c>
    </row>
    <row r="14" spans="1:2">
      <c r="A14" s="1" t="s">
        <v>230</v>
      </c>
      <c r="B14" s="1" t="s">
        <v>284</v>
      </c>
    </row>
    <row r="15" spans="1:2">
      <c r="A15" s="1" t="s">
        <v>231</v>
      </c>
      <c r="B15" s="1" t="s">
        <v>285</v>
      </c>
    </row>
    <row r="16" spans="1:2">
      <c r="A16" s="1" t="s">
        <v>252</v>
      </c>
      <c r="B16" s="1" t="s">
        <v>286</v>
      </c>
    </row>
    <row r="17" spans="1:2">
      <c r="A17" s="1" t="s">
        <v>232</v>
      </c>
      <c r="B17" s="1" t="s">
        <v>287</v>
      </c>
    </row>
    <row r="18" spans="1:2">
      <c r="A18" s="1" t="s">
        <v>233</v>
      </c>
      <c r="B18" s="1" t="s">
        <v>288</v>
      </c>
    </row>
    <row r="19" spans="1:2">
      <c r="A19" s="1" t="s">
        <v>234</v>
      </c>
      <c r="B19" s="1" t="s">
        <v>289</v>
      </c>
    </row>
    <row r="20" spans="1:2">
      <c r="A20" s="1" t="s">
        <v>235</v>
      </c>
      <c r="B20" s="1" t="s">
        <v>290</v>
      </c>
    </row>
    <row r="21" spans="1:2">
      <c r="A21" s="1" t="s">
        <v>236</v>
      </c>
      <c r="B21" s="1" t="s">
        <v>291</v>
      </c>
    </row>
    <row r="22" spans="1:2">
      <c r="A22" s="1" t="s">
        <v>237</v>
      </c>
      <c r="B22" s="1" t="s">
        <v>292</v>
      </c>
    </row>
    <row r="23" spans="1:2">
      <c r="A23" s="1" t="s">
        <v>238</v>
      </c>
      <c r="B23" s="1" t="s">
        <v>293</v>
      </c>
    </row>
    <row r="24" spans="1:2">
      <c r="A24" s="1" t="s">
        <v>239</v>
      </c>
      <c r="B24" s="1" t="s">
        <v>294</v>
      </c>
    </row>
    <row r="25" spans="1:2">
      <c r="A25" s="1" t="s">
        <v>240</v>
      </c>
      <c r="B25" s="1" t="s">
        <v>295</v>
      </c>
    </row>
    <row r="26" spans="1:2">
      <c r="A26" s="1" t="s">
        <v>241</v>
      </c>
      <c r="B26" s="1" t="s">
        <v>296</v>
      </c>
    </row>
    <row r="27" spans="1:2">
      <c r="A27" s="1" t="s">
        <v>242</v>
      </c>
      <c r="B27" s="1" t="s">
        <v>297</v>
      </c>
    </row>
    <row r="28" spans="1:2">
      <c r="A28" s="1" t="s">
        <v>243</v>
      </c>
      <c r="B28" s="1" t="s">
        <v>298</v>
      </c>
    </row>
    <row r="29" spans="1:2">
      <c r="A29" s="1" t="s">
        <v>244</v>
      </c>
      <c r="B29" s="1" t="s">
        <v>299</v>
      </c>
    </row>
    <row r="30" spans="1:2">
      <c r="A30" s="1" t="s">
        <v>245</v>
      </c>
      <c r="B30" s="1" t="s">
        <v>300</v>
      </c>
    </row>
    <row r="31" spans="1:2">
      <c r="A31" s="1" t="s">
        <v>270</v>
      </c>
      <c r="B31" s="1" t="s">
        <v>301</v>
      </c>
    </row>
    <row r="32" spans="1:2">
      <c r="A32" s="1" t="s">
        <v>255</v>
      </c>
      <c r="B32" s="1" t="s">
        <v>302</v>
      </c>
    </row>
    <row r="33" spans="1:2">
      <c r="A33" s="1" t="s">
        <v>257</v>
      </c>
      <c r="B33" s="1" t="s">
        <v>303</v>
      </c>
    </row>
    <row r="34" spans="1:2">
      <c r="A34" s="1" t="s">
        <v>261</v>
      </c>
      <c r="B34" s="1" t="s">
        <v>304</v>
      </c>
    </row>
    <row r="35" spans="1:2">
      <c r="A35" s="1" t="s">
        <v>262</v>
      </c>
      <c r="B35" s="1" t="s">
        <v>305</v>
      </c>
    </row>
    <row r="36" spans="1:2">
      <c r="A36" s="1" t="s">
        <v>259</v>
      </c>
      <c r="B36" s="1" t="s">
        <v>306</v>
      </c>
    </row>
    <row r="37" spans="1:2">
      <c r="A37" s="1" t="s">
        <v>246</v>
      </c>
      <c r="B37" s="1" t="s">
        <v>307</v>
      </c>
    </row>
    <row r="38" spans="1:2">
      <c r="A38" s="1" t="s">
        <v>247</v>
      </c>
      <c r="B38" s="1" t="s">
        <v>308</v>
      </c>
    </row>
    <row r="39" spans="1:2">
      <c r="A39" s="1" t="s">
        <v>248</v>
      </c>
      <c r="B39" s="1" t="s">
        <v>309</v>
      </c>
    </row>
    <row r="40" spans="1:2">
      <c r="A40" s="1" t="s">
        <v>249</v>
      </c>
      <c r="B40" s="1" t="s">
        <v>310</v>
      </c>
    </row>
    <row r="41" spans="1:2">
      <c r="A41" s="1" t="s">
        <v>260</v>
      </c>
      <c r="B41" s="1" t="s">
        <v>311</v>
      </c>
    </row>
    <row r="42" spans="1:2">
      <c r="A42" s="1" t="s">
        <v>256</v>
      </c>
      <c r="B42" s="1" t="s">
        <v>312</v>
      </c>
    </row>
    <row r="43" spans="1:2">
      <c r="A43" s="1" t="s">
        <v>253</v>
      </c>
      <c r="B43" s="1" t="s">
        <v>313</v>
      </c>
    </row>
    <row r="44" spans="1:2">
      <c r="A44" s="1" t="s">
        <v>258</v>
      </c>
      <c r="B44" s="1" t="s">
        <v>314</v>
      </c>
    </row>
    <row r="45" spans="1:2">
      <c r="A45" s="1" t="s">
        <v>254</v>
      </c>
      <c r="B45" s="1" t="s">
        <v>315</v>
      </c>
    </row>
    <row r="46" spans="1:2">
      <c r="A46" s="1" t="s">
        <v>250</v>
      </c>
      <c r="B46" s="1" t="s">
        <v>316</v>
      </c>
    </row>
    <row r="47" spans="1:2">
      <c r="A47" s="1" t="s">
        <v>266</v>
      </c>
      <c r="B47" s="1" t="s">
        <v>317</v>
      </c>
    </row>
    <row r="48" spans="1:2">
      <c r="A48" s="1" t="s">
        <v>268</v>
      </c>
      <c r="B48" s="1" t="s">
        <v>318</v>
      </c>
    </row>
    <row r="49" spans="1:2">
      <c r="A49" s="1" t="s">
        <v>263</v>
      </c>
      <c r="B49" s="1" t="s">
        <v>319</v>
      </c>
    </row>
    <row r="50" spans="1:2">
      <c r="A50" s="1" t="s">
        <v>269</v>
      </c>
      <c r="B50" s="1" t="s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Mohammed Salmon S</cp:lastModifiedBy>
  <cp:revision/>
  <dcterms:created xsi:type="dcterms:W3CDTF">2024-07-19T05:50:18Z</dcterms:created>
  <dcterms:modified xsi:type="dcterms:W3CDTF">2024-09-26T13:08:49Z</dcterms:modified>
  <cp:category/>
  <cp:contentStatus/>
</cp:coreProperties>
</file>