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5"/>
  <workbookPr defaultThemeVersion="166925"/>
  <xr:revisionPtr revIDLastSave="193" documentId="11_DAC540C89F657F360261386EA009D123C5E02BDE" xr6:coauthVersionLast="47" xr6:coauthVersionMax="47" xr10:uidLastSave="{56C2FD77-F296-4FD3-B1E8-B3CA261F88A3}"/>
  <bookViews>
    <workbookView xWindow="0" yWindow="0" windowWidth="0" windowHeight="0" xr2:uid="{00000000-000D-0000-FFFF-FFFF00000000}"/>
  </bookViews>
  <sheets>
    <sheet name="Export Worksheet" sheetId="1" r:id="rId1"/>
    <sheet name="SO and RO OH" sheetId="3" r:id="rId2"/>
    <sheet name="SO OH and SO OrderNo" sheetId="4" r:id="rId3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2" i="1"/>
  <c r="H25" i="1"/>
  <c r="G34" i="1"/>
  <c r="H34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H33" i="1"/>
  <c r="G3" i="1"/>
  <c r="H4" i="1"/>
  <c r="H3" i="1"/>
  <c r="H5" i="1"/>
  <c r="H6" i="1"/>
  <c r="H7" i="1"/>
  <c r="H8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H26" i="1"/>
  <c r="H27" i="1"/>
  <c r="H28" i="1"/>
  <c r="H29" i="1"/>
  <c r="H30" i="1"/>
  <c r="H31" i="1"/>
  <c r="H32" i="1"/>
  <c r="G2" i="1"/>
  <c r="H2" i="1" s="1"/>
</calcChain>
</file>

<file path=xl/sharedStrings.xml><?xml version="1.0" encoding="utf-8"?>
<sst xmlns="http://schemas.openxmlformats.org/spreadsheetml/2006/main" count="343" uniqueCount="205">
  <si>
    <t>SCAC</t>
  </si>
  <si>
    <t>ORDER_NO</t>
  </si>
  <si>
    <t>SHIPMENT_NO</t>
  </si>
  <si>
    <t>AIRWAY_BILL_NO</t>
  </si>
  <si>
    <t>RO_ORDER_HEADER_KEY</t>
  </si>
  <si>
    <t>SO_ORDER_HEADER_KEY</t>
  </si>
  <si>
    <t>SO_Order_No</t>
  </si>
  <si>
    <t>Duplicate</t>
  </si>
  <si>
    <t xml:space="preserve">UPSC                    </t>
  </si>
  <si>
    <t>Y100000938</t>
  </si>
  <si>
    <t xml:space="preserve">100004880                               </t>
  </si>
  <si>
    <t>1ZX4029Y7811761239</t>
  </si>
  <si>
    <t xml:space="preserve">20240731143943211080628 </t>
  </si>
  <si>
    <t>Y100000936</t>
  </si>
  <si>
    <t xml:space="preserve">100004866                               </t>
  </si>
  <si>
    <t>1ZX4029Y7809986395</t>
  </si>
  <si>
    <t xml:space="preserve">20240730184549210695704 </t>
  </si>
  <si>
    <t>Y100000935</t>
  </si>
  <si>
    <t xml:space="preserve">100004861                               </t>
  </si>
  <si>
    <t>1ZX4029Y7835562052</t>
  </si>
  <si>
    <t xml:space="preserve">20240730115558210662341 </t>
  </si>
  <si>
    <t>Y100000929</t>
  </si>
  <si>
    <t xml:space="preserve">100004819                               </t>
  </si>
  <si>
    <t>1ZX4029Y7838252220</t>
  </si>
  <si>
    <t xml:space="preserve">20240727190740209868949 </t>
  </si>
  <si>
    <t>Y100000926</t>
  </si>
  <si>
    <t xml:space="preserve">100004783                               </t>
  </si>
  <si>
    <t>1ZX4029Y7815328941</t>
  </si>
  <si>
    <t xml:space="preserve">20240725020538208788927 </t>
  </si>
  <si>
    <t>Y100000924</t>
  </si>
  <si>
    <t xml:space="preserve">100004780                               </t>
  </si>
  <si>
    <t>1ZX4029Y7829575872</t>
  </si>
  <si>
    <t xml:space="preserve">20240724160013208679608 </t>
  </si>
  <si>
    <t>Y100000923</t>
  </si>
  <si>
    <t xml:space="preserve">100004763                               </t>
  </si>
  <si>
    <t>1ZX4029Y7824934117</t>
  </si>
  <si>
    <t xml:space="preserve">20240723134940208259824 </t>
  </si>
  <si>
    <t>Y100000922</t>
  </si>
  <si>
    <t xml:space="preserve">100004762                               </t>
  </si>
  <si>
    <t>1ZX4029Y7810748514</t>
  </si>
  <si>
    <t xml:space="preserve">20240723110230208236574 </t>
  </si>
  <si>
    <t>Y100000921</t>
  </si>
  <si>
    <t xml:space="preserve">100004693                               </t>
  </si>
  <si>
    <t>1ZX4029Y7818792970</t>
  </si>
  <si>
    <t xml:space="preserve">20240719152428206821571 </t>
  </si>
  <si>
    <t>Y100000916</t>
  </si>
  <si>
    <t xml:space="preserve">100004677                               </t>
  </si>
  <si>
    <t>1ZX4029Y7816766494</t>
  </si>
  <si>
    <t xml:space="preserve">20240718120154206343682 </t>
  </si>
  <si>
    <t>Y100000915</t>
  </si>
  <si>
    <t xml:space="preserve">100004672                               </t>
  </si>
  <si>
    <t>1ZX4029Y7809337872</t>
  </si>
  <si>
    <t xml:space="preserve">20240718074938206234995 </t>
  </si>
  <si>
    <t>Y100000912</t>
  </si>
  <si>
    <t xml:space="preserve">100004660                               </t>
  </si>
  <si>
    <t>1ZX4029Y7826802765</t>
  </si>
  <si>
    <t xml:space="preserve">20240717181023205866403 </t>
  </si>
  <si>
    <t>Y100000911</t>
  </si>
  <si>
    <t xml:space="preserve">100004659                               </t>
  </si>
  <si>
    <t>1ZX4029Y7809893262</t>
  </si>
  <si>
    <t xml:space="preserve">20240717181006205866146 </t>
  </si>
  <si>
    <t>Y100000910</t>
  </si>
  <si>
    <t xml:space="preserve">100004658                               </t>
  </si>
  <si>
    <t>1ZX4029Y7816036451</t>
  </si>
  <si>
    <t xml:space="preserve">20240717180951205866100 </t>
  </si>
  <si>
    <t>Y100000909</t>
  </si>
  <si>
    <t xml:space="preserve">100004656                               </t>
  </si>
  <si>
    <t>1ZX4029Y7830769713</t>
  </si>
  <si>
    <t xml:space="preserve">20240717105540205789505 </t>
  </si>
  <si>
    <t>Y100000906</t>
  </si>
  <si>
    <t xml:space="preserve">100004650                               </t>
  </si>
  <si>
    <t>1ZX4029Y7828415493</t>
  </si>
  <si>
    <t xml:space="preserve">20240717014208205451768 </t>
  </si>
  <si>
    <t>Y100000904</t>
  </si>
  <si>
    <t xml:space="preserve">100004631                               </t>
  </si>
  <si>
    <t>1ZX4029Y7834680122</t>
  </si>
  <si>
    <t xml:space="preserve">20240716112319205381821 </t>
  </si>
  <si>
    <t>Y100000902</t>
  </si>
  <si>
    <t xml:space="preserve">100004627                               </t>
  </si>
  <si>
    <t>1ZX4029Y7800034983</t>
  </si>
  <si>
    <t xml:space="preserve">20240716010421205014214 </t>
  </si>
  <si>
    <t>Y100000900</t>
  </si>
  <si>
    <t xml:space="preserve">100004587                               </t>
  </si>
  <si>
    <t>1ZX4029Y7812800935</t>
  </si>
  <si>
    <t xml:space="preserve">20240714162739204597609 </t>
  </si>
  <si>
    <t>Y100000899</t>
  </si>
  <si>
    <t xml:space="preserve">100004581                               </t>
  </si>
  <si>
    <t>1ZX4029Y7830237752</t>
  </si>
  <si>
    <t xml:space="preserve">20240713142909203947814 </t>
  </si>
  <si>
    <t>Y100000897</t>
  </si>
  <si>
    <t xml:space="preserve">100004577                               </t>
  </si>
  <si>
    <t>1ZX4029Y7834174143</t>
  </si>
  <si>
    <t xml:space="preserve">20240713110808203917514 </t>
  </si>
  <si>
    <t>Y100000895</t>
  </si>
  <si>
    <t xml:space="preserve">100004570                               </t>
  </si>
  <si>
    <t>1ZX4029Y7803317476</t>
  </si>
  <si>
    <t xml:space="preserve">20240712190246203833519 </t>
  </si>
  <si>
    <t>Y100000894</t>
  </si>
  <si>
    <t xml:space="preserve">100004562                               </t>
  </si>
  <si>
    <t>1ZX4029Y7835805316</t>
  </si>
  <si>
    <t xml:space="preserve">20240712083824203693462 </t>
  </si>
  <si>
    <t>Y100000893</t>
  </si>
  <si>
    <t xml:space="preserve">100004561                               </t>
  </si>
  <si>
    <t>1ZX4029Y7823289700</t>
  </si>
  <si>
    <t xml:space="preserve">20240712083713203693420 </t>
  </si>
  <si>
    <t>Y100000891</t>
  </si>
  <si>
    <t xml:space="preserve">100004550                               </t>
  </si>
  <si>
    <t>1ZX4029Y7837659990</t>
  </si>
  <si>
    <t xml:space="preserve">20240711115217203506148 </t>
  </si>
  <si>
    <t>Y100000890</t>
  </si>
  <si>
    <t xml:space="preserve">100004548                               </t>
  </si>
  <si>
    <t>1ZX4029Y7837388381</t>
  </si>
  <si>
    <t xml:space="preserve">20240711111315203504166 </t>
  </si>
  <si>
    <t>Y100000888</t>
  </si>
  <si>
    <t xml:space="preserve">100004547                               </t>
  </si>
  <si>
    <t>1ZX4029Y7801240954</t>
  </si>
  <si>
    <t xml:space="preserve">20240711110550203503770 </t>
  </si>
  <si>
    <t>Y100000887</t>
  </si>
  <si>
    <t xml:space="preserve">100004535                               </t>
  </si>
  <si>
    <t>1ZX4029Y7807421855</t>
  </si>
  <si>
    <t xml:space="preserve">20240710152028203116586 </t>
  </si>
  <si>
    <t>Y100000886</t>
  </si>
  <si>
    <t xml:space="preserve">100004527                               </t>
  </si>
  <si>
    <t>1ZX4029Y7814142223</t>
  </si>
  <si>
    <t xml:space="preserve">20240710100526202958247 </t>
  </si>
  <si>
    <t>Y100000885</t>
  </si>
  <si>
    <t xml:space="preserve">100004519                               </t>
  </si>
  <si>
    <t>1ZX4029Y7817982758</t>
  </si>
  <si>
    <t xml:space="preserve">20240709164115202705515 </t>
  </si>
  <si>
    <t>Y100000884</t>
  </si>
  <si>
    <t xml:space="preserve">100004477                               </t>
  </si>
  <si>
    <t>1ZX4029Y7832623134</t>
  </si>
  <si>
    <t xml:space="preserve">20240706070226201511226 </t>
  </si>
  <si>
    <t>Y100000883</t>
  </si>
  <si>
    <t xml:space="preserve">100004436                               </t>
  </si>
  <si>
    <t>1ZX4029Y7821398275</t>
  </si>
  <si>
    <t xml:space="preserve">20240703055048200098389 </t>
  </si>
  <si>
    <t>Y100000882</t>
  </si>
  <si>
    <t xml:space="preserve">100004435                               </t>
  </si>
  <si>
    <t>1ZX4029Y7835250666</t>
  </si>
  <si>
    <t xml:space="preserve">20240703054955200097881 </t>
  </si>
  <si>
    <t>DERIVED_FROM_ORDER_HEADER_KEY</t>
  </si>
  <si>
    <t xml:space="preserve">20240528115733185239733 </t>
  </si>
  <si>
    <t xml:space="preserve">20240610174733191078419 </t>
  </si>
  <si>
    <t xml:space="preserve">20240628122945198504133 </t>
  </si>
  <si>
    <t xml:space="preserve">20240616115734193312532 </t>
  </si>
  <si>
    <t xml:space="preserve">20240626233945197654171 </t>
  </si>
  <si>
    <t xml:space="preserve">20240701120949199601897 </t>
  </si>
  <si>
    <t xml:space="preserve">20240701233945199614714 </t>
  </si>
  <si>
    <t xml:space="preserve">20240620124233195110441 </t>
  </si>
  <si>
    <t xml:space="preserve">20240704150945200825799 </t>
  </si>
  <si>
    <t xml:space="preserve">20240628102948198345517 </t>
  </si>
  <si>
    <t xml:space="preserve">20240705140948201256147 </t>
  </si>
  <si>
    <t xml:space="preserve">20240704231445200841563 </t>
  </si>
  <si>
    <t xml:space="preserve">20240705095445201097760 </t>
  </si>
  <si>
    <t xml:space="preserve">20240706110945201614530 </t>
  </si>
  <si>
    <t xml:space="preserve">20240630150446199234307 </t>
  </si>
  <si>
    <t xml:space="preserve">20240513111443177659075 </t>
  </si>
  <si>
    <t xml:space="preserve">20240702000446199616641 </t>
  </si>
  <si>
    <t xml:space="preserve">2023122814190080269164  </t>
  </si>
  <si>
    <t xml:space="preserve">20240710104908203018039 </t>
  </si>
  <si>
    <t xml:space="preserve">20240630125945199230870 </t>
  </si>
  <si>
    <t xml:space="preserve">20240627201947198064509 </t>
  </si>
  <si>
    <t xml:space="preserve">20240709023945202398771 </t>
  </si>
  <si>
    <t xml:space="preserve">20240715154407204991807 </t>
  </si>
  <si>
    <t xml:space="preserve">20240714011407204011444 </t>
  </si>
  <si>
    <t xml:space="preserve">20240716125907205410194 </t>
  </si>
  <si>
    <t xml:space="preserve">20240718012907205897684 </t>
  </si>
  <si>
    <t xml:space="preserve">20240723001453207864080 </t>
  </si>
  <si>
    <t xml:space="preserve">20240723150453208263986 </t>
  </si>
  <si>
    <t xml:space="preserve">20240714034407204030138 </t>
  </si>
  <si>
    <t xml:space="preserve">20240731104250210947394 </t>
  </si>
  <si>
    <t xml:space="preserve">20240712131409203822038 </t>
  </si>
  <si>
    <t xml:space="preserve">20240721121453207446652 </t>
  </si>
  <si>
    <t>ORDER_HEADER_KEY</t>
  </si>
  <si>
    <t>51876761651</t>
  </si>
  <si>
    <t>00002049</t>
  </si>
  <si>
    <t>00002333</t>
  </si>
  <si>
    <t>00002611</t>
  </si>
  <si>
    <t>00002658</t>
  </si>
  <si>
    <t>00002684</t>
  </si>
  <si>
    <t>00002929</t>
  </si>
  <si>
    <t>00002884</t>
  </si>
  <si>
    <t>00002887</t>
  </si>
  <si>
    <t>00002888</t>
  </si>
  <si>
    <t>00002953</t>
  </si>
  <si>
    <t>00002954</t>
  </si>
  <si>
    <t>00002959</t>
  </si>
  <si>
    <t>00002964</t>
  </si>
  <si>
    <t>00003006</t>
  </si>
  <si>
    <t>00003040</t>
  </si>
  <si>
    <t>00003045</t>
  </si>
  <si>
    <t>00002997</t>
  </si>
  <si>
    <t>00002998</t>
  </si>
  <si>
    <t>00003057</t>
  </si>
  <si>
    <t>00003094</t>
  </si>
  <si>
    <t>00003147</t>
  </si>
  <si>
    <t>00003240</t>
  </si>
  <si>
    <t>00003241</t>
  </si>
  <si>
    <t>00003259</t>
  </si>
  <si>
    <t>00003312</t>
  </si>
  <si>
    <t>00003301</t>
  </si>
  <si>
    <t>00003535</t>
  </si>
  <si>
    <t>00003557</t>
  </si>
  <si>
    <t>00003681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</si>
</sst>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56"/>
  <sheetViews>
    <sheetView tabSelected="1" workbookViewId="0">
      <pane ySplit="1" topLeftCell="E2" activePane="bottomLeft" state="frozen"/>
      <selection pane="bottomLeft" activeCell="I4" sqref="I4"/>
    </sheetView>
  </sheetViews>
  <sheetFormatPr defaultRowHeight="15"/>
  <cols>
    <col min="1" max="1" width="15.5703125" bestFit="1" customWidth="1"/>
    <col min="2" max="2" width="12" bestFit="1" customWidth="1"/>
    <col min="3" max="3" width="26.5703125" bestFit="1" customWidth="1"/>
    <col min="4" max="4" width="21" bestFit="1" customWidth="1"/>
    <col min="5" max="5" width="21.140625" customWidth="1"/>
    <col min="6" max="6" width="27.140625" style="1" customWidth="1"/>
    <col min="7" max="7" width="27.140625" customWidth="1"/>
    <col min="8" max="8" width="35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t="s">
        <v>1</v>
      </c>
      <c r="F1" s="1" t="s">
        <v>4</v>
      </c>
      <c r="G1" t="s">
        <v>5</v>
      </c>
      <c r="H1" t="s">
        <v>6</v>
      </c>
      <c r="I1" t="s">
        <v>7</v>
      </c>
    </row>
    <row r="2" spans="1:9">
      <c r="A2" s="1" t="s">
        <v>8</v>
      </c>
      <c r="B2" s="1" t="s">
        <v>9</v>
      </c>
      <c r="C2" s="1" t="s">
        <v>10</v>
      </c>
      <c r="D2" s="1" t="s">
        <v>11</v>
      </c>
      <c r="E2" s="1" t="s">
        <v>9</v>
      </c>
      <c r="F2" s="1" t="s">
        <v>12</v>
      </c>
      <c r="G2" t="str">
        <f>VLOOKUP($F2,'SO and RO OH'!$A$2:$B$173,2,FALSE)</f>
        <v xml:space="preserve">20240721121453207446652 </v>
      </c>
      <c r="H2" t="str">
        <f>VLOOKUP($G2,'SO OH and SO OrderNo'!$A$2:$B$143,2,FALSE)</f>
        <v>00003535</v>
      </c>
      <c r="I2">
        <f>COUNTIF($H$2:$H$34,$H2)</f>
        <v>1</v>
      </c>
    </row>
    <row r="3" spans="1:9">
      <c r="A3" s="1" t="s">
        <v>8</v>
      </c>
      <c r="B3" s="1" t="s">
        <v>13</v>
      </c>
      <c r="C3" s="1" t="s">
        <v>14</v>
      </c>
      <c r="D3" s="1" t="s">
        <v>15</v>
      </c>
      <c r="E3" s="1" t="s">
        <v>13</v>
      </c>
      <c r="F3" s="1" t="s">
        <v>16</v>
      </c>
      <c r="G3" t="str">
        <f>VLOOKUP($F3,'SO and RO OH'!$A$2:$B$173,2,FALSE)</f>
        <v xml:space="preserve">20240714034407204030138 </v>
      </c>
      <c r="H3" t="str">
        <f>VLOOKUP($G3,'SO OH and SO OrderNo'!$A$2:$B$143,2,FALSE)</f>
        <v>00003241</v>
      </c>
      <c r="I3">
        <f t="shared" ref="I3:I34" si="0">COUNTIF($H$2:$H$34,$H3)</f>
        <v>1</v>
      </c>
    </row>
    <row r="4" spans="1:9">
      <c r="A4" s="1" t="s">
        <v>8</v>
      </c>
      <c r="B4" s="1" t="s">
        <v>17</v>
      </c>
      <c r="C4" s="1" t="s">
        <v>18</v>
      </c>
      <c r="D4" s="1" t="s">
        <v>19</v>
      </c>
      <c r="E4" s="1" t="s">
        <v>17</v>
      </c>
      <c r="F4" s="1" t="s">
        <v>20</v>
      </c>
      <c r="G4" t="str">
        <f>VLOOKUP($F4,'SO and RO OH'!$A$2:$B$173,2,FALSE)</f>
        <v xml:space="preserve">20240723150453208263986 </v>
      </c>
      <c r="H4" t="str">
        <f>VLOOKUP($G4,'SO OH and SO OrderNo'!$A$2:$B$143,2,FALSE)</f>
        <v>00003681</v>
      </c>
      <c r="I4">
        <f t="shared" si="0"/>
        <v>1</v>
      </c>
    </row>
    <row r="5" spans="1:9">
      <c r="A5" s="1" t="s">
        <v>8</v>
      </c>
      <c r="B5" s="1" t="s">
        <v>21</v>
      </c>
      <c r="C5" s="1" t="s">
        <v>22</v>
      </c>
      <c r="D5" s="1" t="s">
        <v>23</v>
      </c>
      <c r="E5" s="1" t="s">
        <v>21</v>
      </c>
      <c r="F5" s="1" t="s">
        <v>24</v>
      </c>
      <c r="G5" t="str">
        <f>VLOOKUP($F5,'SO and RO OH'!$A$2:$B$173,2,FALSE)</f>
        <v xml:space="preserve">20240723001453207864080 </v>
      </c>
      <c r="H5" t="str">
        <f>VLOOKUP($G5,'SO OH and SO OrderNo'!$A$2:$B$143,2,FALSE)</f>
        <v>00003557</v>
      </c>
      <c r="I5">
        <f t="shared" si="0"/>
        <v>1</v>
      </c>
    </row>
    <row r="6" spans="1:9">
      <c r="A6" s="1" t="s">
        <v>8</v>
      </c>
      <c r="B6" s="1" t="s">
        <v>25</v>
      </c>
      <c r="C6" s="1" t="s">
        <v>26</v>
      </c>
      <c r="D6" s="1" t="s">
        <v>27</v>
      </c>
      <c r="E6" s="1" t="s">
        <v>25</v>
      </c>
      <c r="F6" s="1" t="s">
        <v>28</v>
      </c>
      <c r="G6" t="str">
        <f>VLOOKUP($F6,'SO and RO OH'!$A$2:$B$173,2,FALSE)</f>
        <v xml:space="preserve">20240718012907205897684 </v>
      </c>
      <c r="H6" t="str">
        <f>VLOOKUP($G6,'SO OH and SO OrderNo'!$A$2:$B$143,2,FALSE)</f>
        <v>00003301</v>
      </c>
      <c r="I6">
        <f t="shared" si="0"/>
        <v>1</v>
      </c>
    </row>
    <row r="7" spans="1:9">
      <c r="A7" s="1" t="s">
        <v>8</v>
      </c>
      <c r="B7" s="1" t="s">
        <v>29</v>
      </c>
      <c r="C7" s="1" t="s">
        <v>30</v>
      </c>
      <c r="D7" s="1" t="s">
        <v>31</v>
      </c>
      <c r="E7" s="1" t="s">
        <v>29</v>
      </c>
      <c r="F7" s="1" t="s">
        <v>32</v>
      </c>
      <c r="G7" t="str">
        <f>VLOOKUP($F7,'SO and RO OH'!$A$2:$B$173,2,FALSE)</f>
        <v xml:space="preserve">20240716125907205410194 </v>
      </c>
      <c r="H7" t="str">
        <f>VLOOKUP($G7,'SO OH and SO OrderNo'!$A$2:$B$143,2,FALSE)</f>
        <v>00003312</v>
      </c>
      <c r="I7">
        <f t="shared" si="0"/>
        <v>1</v>
      </c>
    </row>
    <row r="8" spans="1:9">
      <c r="A8" s="1" t="s">
        <v>8</v>
      </c>
      <c r="B8" s="1" t="s">
        <v>33</v>
      </c>
      <c r="C8" s="1" t="s">
        <v>34</v>
      </c>
      <c r="D8" s="1" t="s">
        <v>35</v>
      </c>
      <c r="E8" s="1" t="s">
        <v>33</v>
      </c>
      <c r="F8" s="1" t="s">
        <v>36</v>
      </c>
      <c r="G8" t="str">
        <f>VLOOKUP($F8,'SO and RO OH'!$A$2:$B$173,2,FALSE)</f>
        <v xml:space="preserve">20240714011407204011444 </v>
      </c>
      <c r="H8" t="str">
        <f>VLOOKUP($G8,'SO OH and SO OrderNo'!$A$2:$B$143,2,FALSE)</f>
        <v>00003240</v>
      </c>
      <c r="I8">
        <f t="shared" si="0"/>
        <v>1</v>
      </c>
    </row>
    <row r="9" spans="1:9">
      <c r="A9" s="1" t="s">
        <v>8</v>
      </c>
      <c r="B9" s="1" t="s">
        <v>37</v>
      </c>
      <c r="C9" s="1" t="s">
        <v>38</v>
      </c>
      <c r="D9" s="1" t="s">
        <v>39</v>
      </c>
      <c r="E9" s="1" t="s">
        <v>37</v>
      </c>
      <c r="F9" s="1" t="s">
        <v>40</v>
      </c>
      <c r="G9" t="str">
        <f>VLOOKUP($F9,'SO and RO OH'!$A$2:$B$173,2,FALSE)</f>
        <v xml:space="preserve">20240715154407204991807 </v>
      </c>
      <c r="H9" t="str">
        <f>VLOOKUP($G9,'SO OH and SO OrderNo'!$A$2:$B$143,2,FALSE)</f>
        <v>00003259</v>
      </c>
      <c r="I9">
        <f t="shared" si="0"/>
        <v>1</v>
      </c>
    </row>
    <row r="10" spans="1:9">
      <c r="A10" s="1" t="s">
        <v>8</v>
      </c>
      <c r="B10" s="1" t="s">
        <v>41</v>
      </c>
      <c r="C10" s="1" t="s">
        <v>42</v>
      </c>
      <c r="D10" s="1" t="s">
        <v>43</v>
      </c>
      <c r="E10" s="1" t="s">
        <v>41</v>
      </c>
      <c r="F10" s="1" t="s">
        <v>44</v>
      </c>
      <c r="G10" t="str">
        <f>VLOOKUP($F10,'SO and RO OH'!$A$2:$B$173,2,FALSE)</f>
        <v xml:space="preserve">20240709023945202398771 </v>
      </c>
      <c r="H10" t="str">
        <f>VLOOKUP($G10,'SO OH and SO OrderNo'!$A$2:$B$143,2,FALSE)</f>
        <v>00003094</v>
      </c>
      <c r="I10">
        <f t="shared" si="0"/>
        <v>1</v>
      </c>
    </row>
    <row r="11" spans="1:9">
      <c r="A11" s="1" t="s">
        <v>8</v>
      </c>
      <c r="B11" s="1" t="s">
        <v>45</v>
      </c>
      <c r="C11" s="1" t="s">
        <v>46</v>
      </c>
      <c r="D11" s="1" t="s">
        <v>47</v>
      </c>
      <c r="E11" s="1" t="s">
        <v>45</v>
      </c>
      <c r="F11" s="1" t="s">
        <v>48</v>
      </c>
      <c r="G11" t="str">
        <f>VLOOKUP($F11,'SO and RO OH'!$A$2:$B$173,2,FALSE)</f>
        <v xml:space="preserve">20240627201947198064509 </v>
      </c>
      <c r="H11" t="str">
        <f>VLOOKUP($G11,'SO OH and SO OrderNo'!$A$2:$B$143,2,FALSE)</f>
        <v>00002884</v>
      </c>
      <c r="I11">
        <f t="shared" si="0"/>
        <v>1</v>
      </c>
    </row>
    <row r="12" spans="1:9">
      <c r="A12" s="1" t="s">
        <v>8</v>
      </c>
      <c r="B12" s="1" t="s">
        <v>49</v>
      </c>
      <c r="C12" s="1" t="s">
        <v>50</v>
      </c>
      <c r="D12" s="1" t="s">
        <v>51</v>
      </c>
      <c r="E12" s="1" t="s">
        <v>49</v>
      </c>
      <c r="F12" s="1" t="s">
        <v>52</v>
      </c>
      <c r="G12" t="str">
        <f>VLOOKUP($F12,'SO and RO OH'!$A$2:$B$173,2,FALSE)</f>
        <v xml:space="preserve">20240630125945199230870 </v>
      </c>
      <c r="H12" t="str">
        <f>VLOOKUP($G12,'SO OH and SO OrderNo'!$A$2:$B$143,2,FALSE)</f>
        <v>00002953</v>
      </c>
      <c r="I12">
        <f t="shared" si="0"/>
        <v>1</v>
      </c>
    </row>
    <row r="13" spans="1:9">
      <c r="A13" s="1" t="s">
        <v>8</v>
      </c>
      <c r="B13" s="1" t="s">
        <v>53</v>
      </c>
      <c r="C13" s="1" t="s">
        <v>54</v>
      </c>
      <c r="D13" s="1" t="s">
        <v>55</v>
      </c>
      <c r="E13" s="1" t="s">
        <v>53</v>
      </c>
      <c r="F13" s="1" t="s">
        <v>56</v>
      </c>
      <c r="G13" t="str">
        <f>VLOOKUP($F13,'SO and RO OH'!$A$2:$B$173,2,FALSE)</f>
        <v xml:space="preserve">20240710104908203018039 </v>
      </c>
      <c r="H13" t="str">
        <f>VLOOKUP($G13,'SO OH and SO OrderNo'!$A$2:$B$143,2,FALSE)</f>
        <v>00003147</v>
      </c>
      <c r="I13">
        <f t="shared" si="0"/>
        <v>3</v>
      </c>
    </row>
    <row r="14" spans="1:9">
      <c r="A14" s="1" t="s">
        <v>8</v>
      </c>
      <c r="B14" s="1" t="s">
        <v>57</v>
      </c>
      <c r="C14" s="1" t="s">
        <v>58</v>
      </c>
      <c r="D14" s="1" t="s">
        <v>59</v>
      </c>
      <c r="E14" s="1" t="s">
        <v>57</v>
      </c>
      <c r="F14" s="1" t="s">
        <v>60</v>
      </c>
      <c r="G14" t="str">
        <f>VLOOKUP($F14,'SO and RO OH'!$A$2:$B$173,2,FALSE)</f>
        <v xml:space="preserve">20240710104908203018039 </v>
      </c>
      <c r="H14" t="str">
        <f>VLOOKUP($G14,'SO OH and SO OrderNo'!$A$2:$B$143,2,FALSE)</f>
        <v>00003147</v>
      </c>
      <c r="I14">
        <f t="shared" si="0"/>
        <v>3</v>
      </c>
    </row>
    <row r="15" spans="1:9">
      <c r="A15" s="1" t="s">
        <v>8</v>
      </c>
      <c r="B15" s="1" t="s">
        <v>61</v>
      </c>
      <c r="C15" s="1" t="s">
        <v>62</v>
      </c>
      <c r="D15" s="1" t="s">
        <v>63</v>
      </c>
      <c r="E15" s="1" t="s">
        <v>61</v>
      </c>
      <c r="F15" s="1" t="s">
        <v>64</v>
      </c>
      <c r="G15" t="str">
        <f>VLOOKUP($F15,'SO and RO OH'!$A$2:$B$173,2,FALSE)</f>
        <v xml:space="preserve">20240710104908203018039 </v>
      </c>
      <c r="H15" t="str">
        <f>VLOOKUP($G15,'SO OH and SO OrderNo'!$A$2:$B$143,2,FALSE)</f>
        <v>00003147</v>
      </c>
      <c r="I15">
        <f t="shared" si="0"/>
        <v>3</v>
      </c>
    </row>
    <row r="16" spans="1:9">
      <c r="A16" s="1" t="s">
        <v>8</v>
      </c>
      <c r="B16" s="1" t="s">
        <v>65</v>
      </c>
      <c r="C16" s="1" t="s">
        <v>66</v>
      </c>
      <c r="D16" s="1" t="s">
        <v>67</v>
      </c>
      <c r="E16" s="1" t="s">
        <v>65</v>
      </c>
      <c r="F16" s="1" t="s">
        <v>68</v>
      </c>
      <c r="G16" t="str">
        <f>VLOOKUP($F16,'SO and RO OH'!$A$2:$B$173,2,FALSE)</f>
        <v xml:space="preserve">2023122814190080269164  </v>
      </c>
      <c r="H16" t="str">
        <f>VLOOKUP($G16,'SO OH and SO OrderNo'!$A$2:$B$143,2,FALSE)</f>
        <v>51876761651</v>
      </c>
      <c r="I16">
        <f t="shared" si="0"/>
        <v>1</v>
      </c>
    </row>
    <row r="17" spans="1:9">
      <c r="A17" s="1" t="s">
        <v>8</v>
      </c>
      <c r="B17" s="1" t="s">
        <v>69</v>
      </c>
      <c r="C17" s="1" t="s">
        <v>70</v>
      </c>
      <c r="D17" s="1" t="s">
        <v>71</v>
      </c>
      <c r="E17" s="1" t="s">
        <v>69</v>
      </c>
      <c r="F17" s="1" t="s">
        <v>72</v>
      </c>
      <c r="G17" t="str">
        <f>VLOOKUP($F17,'SO and RO OH'!$A$2:$B$173,2,FALSE)</f>
        <v xml:space="preserve">20240702000446199616641 </v>
      </c>
      <c r="H17" t="str">
        <f>VLOOKUP($G17,'SO OH and SO OrderNo'!$A$2:$B$143,2,FALSE)</f>
        <v>00003006</v>
      </c>
      <c r="I17">
        <f t="shared" si="0"/>
        <v>1</v>
      </c>
    </row>
    <row r="18" spans="1:9">
      <c r="A18" s="1" t="s">
        <v>8</v>
      </c>
      <c r="B18" s="1" t="s">
        <v>73</v>
      </c>
      <c r="C18" s="1" t="s">
        <v>74</v>
      </c>
      <c r="D18" s="1" t="s">
        <v>75</v>
      </c>
      <c r="E18" s="1" t="s">
        <v>73</v>
      </c>
      <c r="F18" s="1" t="s">
        <v>76</v>
      </c>
      <c r="G18" t="str">
        <f>VLOOKUP($F18,'SO and RO OH'!$A$2:$B$173,2,FALSE)</f>
        <v xml:space="preserve">20240513111443177659075 </v>
      </c>
      <c r="H18" t="str">
        <f>VLOOKUP($G18,'SO OH and SO OrderNo'!$A$2:$B$143,2,FALSE)</f>
        <v>00002049</v>
      </c>
      <c r="I18">
        <f t="shared" si="0"/>
        <v>1</v>
      </c>
    </row>
    <row r="19" spans="1:9">
      <c r="A19" s="1" t="s">
        <v>8</v>
      </c>
      <c r="B19" s="1" t="s">
        <v>77</v>
      </c>
      <c r="C19" s="1" t="s">
        <v>78</v>
      </c>
      <c r="D19" s="1" t="s">
        <v>79</v>
      </c>
      <c r="E19" s="1" t="s">
        <v>77</v>
      </c>
      <c r="F19" s="1" t="s">
        <v>80</v>
      </c>
      <c r="G19" t="str">
        <f>VLOOKUP($F19,'SO and RO OH'!$A$2:$B$173,2,FALSE)</f>
        <v xml:space="preserve">20240630150446199234307 </v>
      </c>
      <c r="H19" t="str">
        <f>VLOOKUP($G19,'SO OH and SO OrderNo'!$A$2:$B$143,2,FALSE)</f>
        <v>00002954</v>
      </c>
      <c r="I19">
        <f t="shared" si="0"/>
        <v>1</v>
      </c>
    </row>
    <row r="20" spans="1:9">
      <c r="A20" s="1" t="s">
        <v>8</v>
      </c>
      <c r="B20" s="1" t="s">
        <v>81</v>
      </c>
      <c r="C20" s="1" t="s">
        <v>82</v>
      </c>
      <c r="D20" s="1" t="s">
        <v>83</v>
      </c>
      <c r="E20" s="1" t="s">
        <v>81</v>
      </c>
      <c r="F20" s="1" t="s">
        <v>84</v>
      </c>
      <c r="G20" t="str">
        <f>VLOOKUP($F20,'SO and RO OH'!$A$2:$B$173,2,FALSE)</f>
        <v xml:space="preserve">20240706110945201614530 </v>
      </c>
      <c r="H20" t="str">
        <f>VLOOKUP($G20,'SO OH and SO OrderNo'!$A$2:$B$143,2,FALSE)</f>
        <v>00003057</v>
      </c>
      <c r="I20">
        <f t="shared" si="0"/>
        <v>1</v>
      </c>
    </row>
    <row r="21" spans="1:9">
      <c r="A21" s="1" t="s">
        <v>8</v>
      </c>
      <c r="B21" s="1" t="s">
        <v>85</v>
      </c>
      <c r="C21" s="1" t="s">
        <v>86</v>
      </c>
      <c r="D21" s="1" t="s">
        <v>87</v>
      </c>
      <c r="E21" s="1" t="s">
        <v>85</v>
      </c>
      <c r="F21" s="1" t="s">
        <v>88</v>
      </c>
      <c r="G21" t="str">
        <f>VLOOKUP($F21,'SO and RO OH'!$A$2:$B$173,2,FALSE)</f>
        <v xml:space="preserve">20240705095445201097760 </v>
      </c>
      <c r="H21" t="str">
        <f>VLOOKUP($G21,'SO OH and SO OrderNo'!$A$2:$B$143,2,FALSE)</f>
        <v>00002997</v>
      </c>
      <c r="I21">
        <f t="shared" si="0"/>
        <v>1</v>
      </c>
    </row>
    <row r="22" spans="1:9">
      <c r="A22" s="1" t="s">
        <v>8</v>
      </c>
      <c r="B22" s="1" t="s">
        <v>89</v>
      </c>
      <c r="C22" s="1" t="s">
        <v>90</v>
      </c>
      <c r="D22" s="1" t="s">
        <v>91</v>
      </c>
      <c r="E22" s="1" t="s">
        <v>89</v>
      </c>
      <c r="F22" s="1" t="s">
        <v>92</v>
      </c>
      <c r="G22" t="str">
        <f>VLOOKUP($F22,'SO and RO OH'!$A$2:$B$173,2,FALSE)</f>
        <v xml:space="preserve">20240704231445200841563 </v>
      </c>
      <c r="H22" t="str">
        <f>VLOOKUP($G22,'SO OH and SO OrderNo'!$A$2:$B$143,2,FALSE)</f>
        <v>00003045</v>
      </c>
      <c r="I22">
        <f t="shared" si="0"/>
        <v>1</v>
      </c>
    </row>
    <row r="23" spans="1:9">
      <c r="A23" s="1" t="s">
        <v>8</v>
      </c>
      <c r="B23" s="1" t="s">
        <v>93</v>
      </c>
      <c r="C23" s="1" t="s">
        <v>94</v>
      </c>
      <c r="D23" s="1" t="s">
        <v>95</v>
      </c>
      <c r="E23" s="1" t="s">
        <v>93</v>
      </c>
      <c r="F23" s="1" t="s">
        <v>96</v>
      </c>
      <c r="G23" t="str">
        <f>VLOOKUP($F23,'SO and RO OH'!$A$2:$B$173,2,FALSE)</f>
        <v xml:space="preserve">20240705140948201256147 </v>
      </c>
      <c r="H23" t="str">
        <f>VLOOKUP($G23,'SO OH and SO OrderNo'!$A$2:$B$143,2,FALSE)</f>
        <v>00002998</v>
      </c>
      <c r="I23">
        <f t="shared" si="0"/>
        <v>1</v>
      </c>
    </row>
    <row r="24" spans="1:9">
      <c r="A24" s="1" t="s">
        <v>8</v>
      </c>
      <c r="B24" s="1" t="s">
        <v>97</v>
      </c>
      <c r="C24" s="1" t="s">
        <v>98</v>
      </c>
      <c r="D24" s="1" t="s">
        <v>99</v>
      </c>
      <c r="E24" s="1" t="s">
        <v>97</v>
      </c>
      <c r="F24" s="1" t="s">
        <v>100</v>
      </c>
      <c r="G24" t="str">
        <f>VLOOKUP($F24,'SO and RO OH'!$A$2:$B$173,2,FALSE)</f>
        <v xml:space="preserve">20240628102948198345517 </v>
      </c>
      <c r="H24" t="str">
        <f>VLOOKUP($G24,'SO OH and SO OrderNo'!$A$2:$B$143,2,FALSE)</f>
        <v>00002887</v>
      </c>
      <c r="I24">
        <f t="shared" si="0"/>
        <v>2</v>
      </c>
    </row>
    <row r="25" spans="1:9">
      <c r="A25" s="1" t="s">
        <v>8</v>
      </c>
      <c r="B25" s="1" t="s">
        <v>101</v>
      </c>
      <c r="C25" s="1" t="s">
        <v>102</v>
      </c>
      <c r="D25" s="1" t="s">
        <v>103</v>
      </c>
      <c r="E25" s="1" t="s">
        <v>101</v>
      </c>
      <c r="F25" s="1" t="s">
        <v>104</v>
      </c>
      <c r="G25" t="str">
        <f>VLOOKUP($F25,'SO and RO OH'!$A$2:$B$173,2,FALSE)</f>
        <v xml:space="preserve">20240628102948198345517 </v>
      </c>
      <c r="H25" t="str">
        <f>VLOOKUP($G25,'SO OH and SO OrderNo'!$A$2:$B$143,2,FALSE)</f>
        <v>00002887</v>
      </c>
      <c r="I25">
        <f t="shared" si="0"/>
        <v>2</v>
      </c>
    </row>
    <row r="26" spans="1:9">
      <c r="A26" s="1" t="s">
        <v>8</v>
      </c>
      <c r="B26" s="1" t="s">
        <v>105</v>
      </c>
      <c r="C26" s="1" t="s">
        <v>106</v>
      </c>
      <c r="D26" s="1" t="s">
        <v>107</v>
      </c>
      <c r="E26" s="1" t="s">
        <v>105</v>
      </c>
      <c r="F26" s="1" t="s">
        <v>108</v>
      </c>
      <c r="G26" t="str">
        <f>VLOOKUP($F26,'SO and RO OH'!$A$2:$B$173,2,FALSE)</f>
        <v xml:space="preserve">20240704150945200825799 </v>
      </c>
      <c r="H26" t="str">
        <f>VLOOKUP($G26,'SO OH and SO OrderNo'!$A$2:$B$143,2,FALSE)</f>
        <v>00003040</v>
      </c>
      <c r="I26">
        <f t="shared" si="0"/>
        <v>1</v>
      </c>
    </row>
    <row r="27" spans="1:9">
      <c r="A27" s="1" t="s">
        <v>8</v>
      </c>
      <c r="B27" s="1" t="s">
        <v>109</v>
      </c>
      <c r="C27" s="1" t="s">
        <v>110</v>
      </c>
      <c r="D27" s="1" t="s">
        <v>111</v>
      </c>
      <c r="E27" s="1" t="s">
        <v>109</v>
      </c>
      <c r="F27" s="1" t="s">
        <v>112</v>
      </c>
      <c r="G27" t="str">
        <f>VLOOKUP($F27,'SO and RO OH'!$A$2:$B$173,2,FALSE)</f>
        <v xml:space="preserve">20240620124233195110441 </v>
      </c>
      <c r="H27" t="str">
        <f>VLOOKUP($G27,'SO OH and SO OrderNo'!$A$2:$B$143,2,FALSE)</f>
        <v>00002684</v>
      </c>
      <c r="I27">
        <f t="shared" si="0"/>
        <v>1</v>
      </c>
    </row>
    <row r="28" spans="1:9">
      <c r="A28" s="1" t="s">
        <v>8</v>
      </c>
      <c r="B28" s="1" t="s">
        <v>113</v>
      </c>
      <c r="C28" s="1" t="s">
        <v>114</v>
      </c>
      <c r="D28" s="1" t="s">
        <v>115</v>
      </c>
      <c r="E28" s="1" t="s">
        <v>113</v>
      </c>
      <c r="F28" s="1" t="s">
        <v>116</v>
      </c>
      <c r="G28" t="str">
        <f>VLOOKUP($F28,'SO and RO OH'!$A$2:$B$173,2,FALSE)</f>
        <v xml:space="preserve">20240701233945199614714 </v>
      </c>
      <c r="H28" t="str">
        <f>VLOOKUP($G28,'SO OH and SO OrderNo'!$A$2:$B$143,2,FALSE)</f>
        <v>00002964</v>
      </c>
      <c r="I28">
        <f t="shared" si="0"/>
        <v>1</v>
      </c>
    </row>
    <row r="29" spans="1:9">
      <c r="A29" s="1" t="s">
        <v>8</v>
      </c>
      <c r="B29" s="1" t="s">
        <v>117</v>
      </c>
      <c r="C29" s="1" t="s">
        <v>118</v>
      </c>
      <c r="D29" s="1" t="s">
        <v>119</v>
      </c>
      <c r="E29" s="1" t="s">
        <v>117</v>
      </c>
      <c r="F29" s="1" t="s">
        <v>120</v>
      </c>
      <c r="G29" t="str">
        <f>VLOOKUP($F29,'SO and RO OH'!$A$2:$B$173,2,FALSE)</f>
        <v xml:space="preserve">20240701120949199601897 </v>
      </c>
      <c r="H29" t="str">
        <f>VLOOKUP($G29,'SO OH and SO OrderNo'!$A$2:$B$143,2,FALSE)</f>
        <v>00002959</v>
      </c>
      <c r="I29">
        <f t="shared" si="0"/>
        <v>1</v>
      </c>
    </row>
    <row r="30" spans="1:9">
      <c r="A30" s="1" t="s">
        <v>8</v>
      </c>
      <c r="B30" s="1" t="s">
        <v>121</v>
      </c>
      <c r="C30" s="1" t="s">
        <v>122</v>
      </c>
      <c r="D30" s="1" t="s">
        <v>123</v>
      </c>
      <c r="E30" s="1" t="s">
        <v>121</v>
      </c>
      <c r="F30" s="1" t="s">
        <v>124</v>
      </c>
      <c r="G30" t="str">
        <f>VLOOKUP($F30,'SO and RO OH'!$A$2:$B$173,2,FALSE)</f>
        <v xml:space="preserve">20240626233945197654171 </v>
      </c>
      <c r="H30" t="str">
        <f>VLOOKUP($G30,'SO OH and SO OrderNo'!$A$2:$B$143,2,FALSE)</f>
        <v>00002929</v>
      </c>
      <c r="I30">
        <f t="shared" si="0"/>
        <v>1</v>
      </c>
    </row>
    <row r="31" spans="1:9">
      <c r="A31" s="1" t="s">
        <v>8</v>
      </c>
      <c r="B31" s="1" t="s">
        <v>125</v>
      </c>
      <c r="C31" s="1" t="s">
        <v>126</v>
      </c>
      <c r="D31" s="1" t="s">
        <v>127</v>
      </c>
      <c r="E31" s="1" t="s">
        <v>125</v>
      </c>
      <c r="F31" s="1" t="s">
        <v>128</v>
      </c>
      <c r="G31" t="str">
        <f>VLOOKUP($F31,'SO and RO OH'!$A$2:$B$173,2,FALSE)</f>
        <v xml:space="preserve">20240616115734193312532 </v>
      </c>
      <c r="H31" t="str">
        <f>VLOOKUP($G31,'SO OH and SO OrderNo'!$A$2:$B$143,2,FALSE)</f>
        <v>00002658</v>
      </c>
      <c r="I31">
        <f t="shared" si="0"/>
        <v>1</v>
      </c>
    </row>
    <row r="32" spans="1:9">
      <c r="A32" s="1" t="s">
        <v>8</v>
      </c>
      <c r="B32" s="1" t="s">
        <v>129</v>
      </c>
      <c r="C32" s="1" t="s">
        <v>130</v>
      </c>
      <c r="D32" s="1" t="s">
        <v>131</v>
      </c>
      <c r="E32" t="s">
        <v>129</v>
      </c>
      <c r="F32" s="1" t="s">
        <v>132</v>
      </c>
      <c r="G32" t="str">
        <f>VLOOKUP($F32,'SO and RO OH'!$A$2:$B$173,2,FALSE)</f>
        <v xml:space="preserve">20240628122945198504133 </v>
      </c>
      <c r="H32" t="str">
        <f>VLOOKUP($G32,'SO OH and SO OrderNo'!$A$2:$B$143,2,FALSE)</f>
        <v>00002888</v>
      </c>
      <c r="I32">
        <f t="shared" si="0"/>
        <v>1</v>
      </c>
    </row>
    <row r="33" spans="1:9">
      <c r="A33" s="1" t="s">
        <v>8</v>
      </c>
      <c r="B33" s="1" t="s">
        <v>133</v>
      </c>
      <c r="C33" s="1" t="s">
        <v>134</v>
      </c>
      <c r="D33" s="1" t="s">
        <v>135</v>
      </c>
      <c r="E33" t="s">
        <v>133</v>
      </c>
      <c r="F33" s="1" t="s">
        <v>136</v>
      </c>
      <c r="G33" t="str">
        <f>VLOOKUP($F33,'SO and RO OH'!$A$2:$B$173,2,FALSE)</f>
        <v xml:space="preserve">20240610174733191078419 </v>
      </c>
      <c r="H33" t="str">
        <f>VLOOKUP($G33,'SO OH and SO OrderNo'!$A$2:$B$143,2,FALSE)</f>
        <v>00002611</v>
      </c>
      <c r="I33">
        <f t="shared" si="0"/>
        <v>1</v>
      </c>
    </row>
    <row r="34" spans="1:9">
      <c r="A34" s="1" t="s">
        <v>8</v>
      </c>
      <c r="B34" s="1" t="s">
        <v>137</v>
      </c>
      <c r="C34" s="1" t="s">
        <v>138</v>
      </c>
      <c r="D34" s="1" t="s">
        <v>139</v>
      </c>
      <c r="E34" t="s">
        <v>137</v>
      </c>
      <c r="F34" s="1" t="s">
        <v>140</v>
      </c>
      <c r="G34" t="str">
        <f>VLOOKUP($F34,'SO and RO OH'!$A$2:$B$173,2,FALSE)</f>
        <v xml:space="preserve">20240528115733185239733 </v>
      </c>
      <c r="H34" t="str">
        <f>VLOOKUP($G34,'SO OH and SO OrderNo'!$A$2:$B$143,2,FALSE)</f>
        <v>00002333</v>
      </c>
      <c r="I34">
        <f t="shared" si="0"/>
        <v>1</v>
      </c>
    </row>
    <row r="35" spans="1:9">
      <c r="A35" s="1"/>
      <c r="B35" s="1"/>
      <c r="C35" s="1"/>
      <c r="D35" s="1"/>
    </row>
    <row r="36" spans="1:9">
      <c r="A36" s="1"/>
      <c r="B36" s="1"/>
      <c r="C36" s="1"/>
      <c r="D36" s="1"/>
    </row>
    <row r="37" spans="1:9">
      <c r="A37" s="1"/>
      <c r="B37" s="1"/>
      <c r="C37" s="1"/>
      <c r="D37" s="1"/>
    </row>
    <row r="38" spans="1:9">
      <c r="A38" s="1"/>
      <c r="B38" s="1"/>
      <c r="C38" s="1"/>
      <c r="D38" s="1"/>
    </row>
    <row r="39" spans="1:9">
      <c r="A39" s="1"/>
      <c r="B39" s="1"/>
      <c r="C39" s="1"/>
      <c r="D39" s="1"/>
    </row>
    <row r="40" spans="1:9">
      <c r="A40" s="1"/>
      <c r="B40" s="1"/>
      <c r="C40" s="1"/>
      <c r="D40" s="1"/>
    </row>
    <row r="41" spans="1:9">
      <c r="A41" s="1"/>
      <c r="B41" s="1"/>
      <c r="C41" s="1"/>
      <c r="D41" s="1"/>
    </row>
    <row r="42" spans="1:9">
      <c r="A42" s="1"/>
      <c r="B42" s="1"/>
      <c r="C42" s="1"/>
      <c r="D42" s="1"/>
    </row>
    <row r="43" spans="1:9">
      <c r="A43" s="1"/>
      <c r="B43" s="1"/>
      <c r="C43" s="1"/>
      <c r="D43" s="1"/>
    </row>
    <row r="44" spans="1:9">
      <c r="A44" s="1"/>
      <c r="B44" s="1"/>
      <c r="C44" s="1"/>
      <c r="D44" s="1"/>
    </row>
    <row r="45" spans="1:9">
      <c r="A45" s="1"/>
      <c r="B45" s="1"/>
      <c r="C45" s="1"/>
      <c r="D45" s="1"/>
    </row>
    <row r="46" spans="1:9">
      <c r="A46" s="1"/>
      <c r="B46" s="1"/>
      <c r="C46" s="1"/>
      <c r="D46" s="1"/>
    </row>
    <row r="47" spans="1:9">
      <c r="A47" s="1"/>
      <c r="B47" s="1"/>
      <c r="C47" s="1"/>
      <c r="D47" s="1"/>
    </row>
    <row r="48" spans="1:9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B0F26-2B2D-4F98-86F9-3223C728EDDC}">
  <dimension ref="A1:E173"/>
  <sheetViews>
    <sheetView topLeftCell="A22" workbookViewId="0">
      <selection activeCell="A34" sqref="A34"/>
    </sheetView>
  </sheetViews>
  <sheetFormatPr defaultRowHeight="15"/>
  <cols>
    <col min="1" max="1" width="27.140625" bestFit="1" customWidth="1"/>
    <col min="2" max="2" width="35.7109375" bestFit="1" customWidth="1"/>
    <col min="4" max="4" width="27.140625" bestFit="1" customWidth="1"/>
    <col min="5" max="5" width="13.28515625" bestFit="1" customWidth="1"/>
  </cols>
  <sheetData>
    <row r="1" spans="1:5">
      <c r="A1" s="1" t="s">
        <v>4</v>
      </c>
      <c r="B1" s="1" t="s">
        <v>141</v>
      </c>
      <c r="D1" s="1"/>
      <c r="E1" s="1"/>
    </row>
    <row r="2" spans="1:5">
      <c r="A2" s="1" t="s">
        <v>140</v>
      </c>
      <c r="B2" s="1" t="s">
        <v>142</v>
      </c>
      <c r="D2" s="1"/>
      <c r="E2" s="1"/>
    </row>
    <row r="3" spans="1:5">
      <c r="A3" s="1" t="s">
        <v>136</v>
      </c>
      <c r="B3" s="1" t="s">
        <v>143</v>
      </c>
      <c r="D3" s="1"/>
      <c r="E3" s="1"/>
    </row>
    <row r="4" spans="1:5">
      <c r="A4" s="1" t="s">
        <v>136</v>
      </c>
      <c r="B4" s="1" t="s">
        <v>143</v>
      </c>
      <c r="D4" s="1"/>
      <c r="E4" s="1"/>
    </row>
    <row r="5" spans="1:5">
      <c r="A5" s="1" t="s">
        <v>136</v>
      </c>
      <c r="B5" s="1" t="s">
        <v>143</v>
      </c>
      <c r="D5" s="1"/>
      <c r="E5" s="1"/>
    </row>
    <row r="6" spans="1:5">
      <c r="A6" s="1" t="s">
        <v>132</v>
      </c>
      <c r="B6" s="1" t="s">
        <v>144</v>
      </c>
      <c r="D6" s="1"/>
      <c r="E6" s="1"/>
    </row>
    <row r="7" spans="1:5">
      <c r="A7" s="1" t="s">
        <v>128</v>
      </c>
      <c r="B7" s="1" t="s">
        <v>145</v>
      </c>
      <c r="D7" s="1"/>
      <c r="E7" s="1"/>
    </row>
    <row r="8" spans="1:5">
      <c r="A8" s="1" t="s">
        <v>124</v>
      </c>
      <c r="B8" s="1" t="s">
        <v>146</v>
      </c>
      <c r="D8" s="1"/>
      <c r="E8" s="1"/>
    </row>
    <row r="9" spans="1:5">
      <c r="A9" s="1" t="s">
        <v>120</v>
      </c>
      <c r="B9" s="1" t="s">
        <v>147</v>
      </c>
      <c r="D9" s="1"/>
      <c r="E9" s="1"/>
    </row>
    <row r="10" spans="1:5">
      <c r="A10" s="1" t="s">
        <v>116</v>
      </c>
      <c r="B10" s="1" t="s">
        <v>148</v>
      </c>
      <c r="D10" s="1"/>
      <c r="E10" s="1"/>
    </row>
    <row r="11" spans="1:5">
      <c r="A11" s="1" t="s">
        <v>112</v>
      </c>
      <c r="B11" s="1" t="s">
        <v>149</v>
      </c>
      <c r="D11" s="1"/>
      <c r="E11" s="1"/>
    </row>
    <row r="12" spans="1:5">
      <c r="A12" s="1" t="s">
        <v>108</v>
      </c>
      <c r="B12" s="1" t="s">
        <v>150</v>
      </c>
      <c r="D12" s="1"/>
      <c r="E12" s="1"/>
    </row>
    <row r="13" spans="1:5">
      <c r="A13" s="1" t="s">
        <v>104</v>
      </c>
      <c r="B13" s="1" t="s">
        <v>151</v>
      </c>
      <c r="D13" s="1"/>
      <c r="E13" s="1"/>
    </row>
    <row r="14" spans="1:5">
      <c r="A14" s="1" t="s">
        <v>100</v>
      </c>
      <c r="B14" s="1" t="s">
        <v>151</v>
      </c>
      <c r="D14" s="1"/>
      <c r="E14" s="1"/>
    </row>
    <row r="15" spans="1:5">
      <c r="A15" s="1" t="s">
        <v>96</v>
      </c>
      <c r="B15" s="1" t="s">
        <v>152</v>
      </c>
      <c r="D15" s="1"/>
      <c r="E15" s="1"/>
    </row>
    <row r="16" spans="1:5">
      <c r="A16" s="1" t="s">
        <v>92</v>
      </c>
      <c r="B16" s="1" t="s">
        <v>153</v>
      </c>
      <c r="D16" s="1"/>
      <c r="E16" s="1"/>
    </row>
    <row r="17" spans="1:5">
      <c r="A17" s="1" t="s">
        <v>88</v>
      </c>
      <c r="B17" s="1" t="s">
        <v>154</v>
      </c>
      <c r="D17" s="1"/>
      <c r="E17" s="1"/>
    </row>
    <row r="18" spans="1:5">
      <c r="A18" s="1" t="s">
        <v>84</v>
      </c>
      <c r="B18" s="1" t="s">
        <v>155</v>
      </c>
      <c r="D18" s="1"/>
      <c r="E18" s="1"/>
    </row>
    <row r="19" spans="1:5">
      <c r="A19" s="1" t="s">
        <v>80</v>
      </c>
      <c r="B19" s="1" t="s">
        <v>156</v>
      </c>
      <c r="D19" s="1"/>
      <c r="E19" s="1"/>
    </row>
    <row r="20" spans="1:5">
      <c r="A20" s="1" t="s">
        <v>76</v>
      </c>
      <c r="B20" s="1" t="s">
        <v>157</v>
      </c>
      <c r="D20" s="1"/>
      <c r="E20" s="1"/>
    </row>
    <row r="21" spans="1:5">
      <c r="A21" s="1" t="s">
        <v>72</v>
      </c>
      <c r="B21" s="1" t="s">
        <v>158</v>
      </c>
      <c r="D21" s="1"/>
      <c r="E21" s="1"/>
    </row>
    <row r="22" spans="1:5">
      <c r="A22" s="1" t="s">
        <v>68</v>
      </c>
      <c r="B22" s="1" t="s">
        <v>159</v>
      </c>
      <c r="D22" s="1"/>
      <c r="E22" s="1"/>
    </row>
    <row r="23" spans="1:5">
      <c r="A23" s="1" t="s">
        <v>64</v>
      </c>
      <c r="B23" s="1" t="s">
        <v>160</v>
      </c>
      <c r="D23" s="1"/>
      <c r="E23" s="1"/>
    </row>
    <row r="24" spans="1:5">
      <c r="A24" s="1" t="s">
        <v>60</v>
      </c>
      <c r="B24" s="1" t="s">
        <v>160</v>
      </c>
      <c r="D24" s="1"/>
      <c r="E24" s="1"/>
    </row>
    <row r="25" spans="1:5">
      <c r="A25" s="1" t="s">
        <v>56</v>
      </c>
      <c r="B25" s="1" t="s">
        <v>160</v>
      </c>
      <c r="D25" s="1"/>
      <c r="E25" s="1"/>
    </row>
    <row r="26" spans="1:5">
      <c r="A26" s="1" t="s">
        <v>52</v>
      </c>
      <c r="B26" s="1" t="s">
        <v>161</v>
      </c>
      <c r="D26" s="1"/>
      <c r="E26" s="1"/>
    </row>
    <row r="27" spans="1:5">
      <c r="A27" s="1" t="s">
        <v>48</v>
      </c>
      <c r="B27" s="1" t="s">
        <v>162</v>
      </c>
      <c r="D27" s="1"/>
      <c r="E27" s="1"/>
    </row>
    <row r="28" spans="1:5">
      <c r="A28" s="1" t="s">
        <v>44</v>
      </c>
      <c r="B28" s="1" t="s">
        <v>163</v>
      </c>
      <c r="D28" s="1"/>
      <c r="E28" s="1"/>
    </row>
    <row r="29" spans="1:5">
      <c r="A29" s="1" t="s">
        <v>40</v>
      </c>
      <c r="B29" s="1" t="s">
        <v>164</v>
      </c>
      <c r="D29" s="1"/>
      <c r="E29" s="1"/>
    </row>
    <row r="30" spans="1:5">
      <c r="A30" s="1" t="s">
        <v>36</v>
      </c>
      <c r="B30" s="1" t="s">
        <v>165</v>
      </c>
      <c r="D30" s="1"/>
      <c r="E30" s="1"/>
    </row>
    <row r="31" spans="1:5">
      <c r="A31" s="1" t="s">
        <v>32</v>
      </c>
      <c r="B31" s="1" t="s">
        <v>166</v>
      </c>
      <c r="D31" s="1"/>
      <c r="E31" s="1"/>
    </row>
    <row r="32" spans="1:5">
      <c r="A32" s="1" t="s">
        <v>28</v>
      </c>
      <c r="B32" s="1" t="s">
        <v>167</v>
      </c>
      <c r="D32" s="1"/>
      <c r="E32" s="1"/>
    </row>
    <row r="33" spans="1:5">
      <c r="A33" s="1" t="s">
        <v>24</v>
      </c>
      <c r="B33" s="1" t="s">
        <v>168</v>
      </c>
      <c r="D33" s="1"/>
      <c r="E33" s="1"/>
    </row>
    <row r="34" spans="1:5">
      <c r="A34" s="1" t="s">
        <v>20</v>
      </c>
      <c r="B34" s="1" t="s">
        <v>169</v>
      </c>
      <c r="D34" s="1"/>
      <c r="E34" s="1"/>
    </row>
    <row r="35" spans="1:5">
      <c r="A35" s="1" t="s">
        <v>16</v>
      </c>
      <c r="B35" s="1" t="s">
        <v>170</v>
      </c>
      <c r="D35" s="1"/>
      <c r="E35" s="1"/>
    </row>
    <row r="36" spans="1:5">
      <c r="A36" s="1" t="s">
        <v>171</v>
      </c>
      <c r="B36" s="1" t="s">
        <v>172</v>
      </c>
      <c r="D36" s="1"/>
      <c r="E36" s="1"/>
    </row>
    <row r="37" spans="1:5">
      <c r="A37" s="1" t="s">
        <v>12</v>
      </c>
      <c r="B37" s="1" t="s">
        <v>173</v>
      </c>
      <c r="D37" s="1"/>
      <c r="E37" s="1"/>
    </row>
    <row r="38" spans="1:5">
      <c r="A38" s="1"/>
      <c r="B38" s="1"/>
      <c r="D38" s="1"/>
      <c r="E38" s="1"/>
    </row>
    <row r="39" spans="1:5">
      <c r="A39" s="1"/>
      <c r="B39" s="1"/>
      <c r="D39" s="1"/>
      <c r="E39" s="1"/>
    </row>
    <row r="40" spans="1:5">
      <c r="A40" s="1"/>
      <c r="B40" s="1"/>
      <c r="D40" s="1"/>
      <c r="E40" s="1"/>
    </row>
    <row r="41" spans="1:5">
      <c r="A41" s="1"/>
      <c r="B41" s="1"/>
      <c r="D41" s="1"/>
      <c r="E41" s="1"/>
    </row>
    <row r="42" spans="1:5">
      <c r="A42" s="1"/>
      <c r="B42" s="1"/>
      <c r="D42" s="1"/>
      <c r="E42" s="1"/>
    </row>
    <row r="43" spans="1:5">
      <c r="A43" s="1"/>
      <c r="B43" s="1"/>
      <c r="D43" s="1"/>
      <c r="E43" s="1"/>
    </row>
    <row r="44" spans="1:5">
      <c r="A44" s="1"/>
      <c r="B44" s="1"/>
      <c r="D44" s="1"/>
      <c r="E44" s="1"/>
    </row>
    <row r="45" spans="1:5">
      <c r="A45" s="1"/>
      <c r="B45" s="1"/>
      <c r="D45" s="1"/>
      <c r="E45" s="1"/>
    </row>
    <row r="46" spans="1:5">
      <c r="A46" s="1"/>
      <c r="B46" s="1"/>
      <c r="D46" s="1"/>
      <c r="E46" s="1"/>
    </row>
    <row r="47" spans="1:5">
      <c r="A47" s="1"/>
      <c r="B47" s="1"/>
      <c r="D47" s="1"/>
      <c r="E47" s="1"/>
    </row>
    <row r="48" spans="1:5">
      <c r="A48" s="1"/>
      <c r="B48" s="1"/>
      <c r="D48" s="1"/>
      <c r="E48" s="1"/>
    </row>
    <row r="49" spans="1:5">
      <c r="A49" s="1"/>
      <c r="B49" s="1"/>
      <c r="D49" s="1"/>
      <c r="E49" s="1"/>
    </row>
    <row r="50" spans="1:5">
      <c r="A50" s="1"/>
      <c r="B50" s="1"/>
      <c r="D50" s="1"/>
      <c r="E50" s="1"/>
    </row>
    <row r="51" spans="1:5">
      <c r="A51" s="1"/>
      <c r="B51" s="1"/>
      <c r="D51" s="1"/>
      <c r="E51" s="1"/>
    </row>
    <row r="52" spans="1:5">
      <c r="A52" s="1"/>
      <c r="B52" s="1"/>
      <c r="D52" s="1"/>
      <c r="E52" s="1"/>
    </row>
    <row r="53" spans="1:5">
      <c r="A53" s="1"/>
      <c r="B53" s="1"/>
      <c r="D53" s="1"/>
      <c r="E53" s="1"/>
    </row>
    <row r="54" spans="1:5">
      <c r="A54" s="1"/>
      <c r="B54" s="1"/>
      <c r="D54" s="1"/>
      <c r="E54" s="1"/>
    </row>
    <row r="55" spans="1:5">
      <c r="A55" s="1"/>
      <c r="B55" s="1"/>
      <c r="D55" s="1"/>
      <c r="E55" s="1"/>
    </row>
    <row r="56" spans="1:5">
      <c r="A56" s="1"/>
      <c r="B56" s="1"/>
      <c r="D56" s="1"/>
      <c r="E56" s="1"/>
    </row>
    <row r="57" spans="1:5">
      <c r="A57" s="1"/>
      <c r="B57" s="1"/>
      <c r="D57" s="1"/>
      <c r="E57" s="1"/>
    </row>
    <row r="58" spans="1:5">
      <c r="A58" s="1"/>
      <c r="B58" s="1"/>
      <c r="D58" s="1"/>
      <c r="E58" s="1"/>
    </row>
    <row r="59" spans="1:5">
      <c r="A59" s="1"/>
      <c r="B59" s="1"/>
      <c r="D59" s="1"/>
      <c r="E59" s="1"/>
    </row>
    <row r="60" spans="1:5">
      <c r="A60" s="1"/>
      <c r="B60" s="1"/>
      <c r="D60" s="1"/>
      <c r="E60" s="1"/>
    </row>
    <row r="61" spans="1:5">
      <c r="A61" s="1"/>
      <c r="B61" s="1"/>
      <c r="D61" s="1"/>
      <c r="E61" s="1"/>
    </row>
    <row r="62" spans="1:5">
      <c r="A62" s="1"/>
      <c r="B62" s="1"/>
      <c r="D62" s="1"/>
      <c r="E62" s="1"/>
    </row>
    <row r="63" spans="1:5">
      <c r="A63" s="1"/>
      <c r="B63" s="1"/>
      <c r="D63" s="1"/>
      <c r="E63" s="1"/>
    </row>
    <row r="64" spans="1:5">
      <c r="A64" s="1"/>
      <c r="B64" s="1"/>
      <c r="D64" s="1"/>
      <c r="E64" s="1"/>
    </row>
    <row r="65" spans="1:5">
      <c r="A65" s="1"/>
      <c r="B65" s="1"/>
      <c r="D65" s="1"/>
      <c r="E65" s="1"/>
    </row>
    <row r="66" spans="1:5">
      <c r="A66" s="1"/>
      <c r="B66" s="1"/>
      <c r="D66" s="1"/>
      <c r="E66" s="1"/>
    </row>
    <row r="67" spans="1:5">
      <c r="A67" s="1"/>
      <c r="B67" s="1"/>
      <c r="D67" s="1"/>
      <c r="E67" s="1"/>
    </row>
    <row r="68" spans="1:5">
      <c r="A68" s="1"/>
      <c r="B68" s="1"/>
      <c r="D68" s="1"/>
      <c r="E68" s="1"/>
    </row>
    <row r="69" spans="1:5">
      <c r="A69" s="1"/>
      <c r="B69" s="1"/>
      <c r="D69" s="1"/>
      <c r="E69" s="1"/>
    </row>
    <row r="70" spans="1:5">
      <c r="A70" s="1"/>
      <c r="B70" s="1"/>
      <c r="D70" s="1"/>
      <c r="E70" s="1"/>
    </row>
    <row r="71" spans="1:5">
      <c r="A71" s="1"/>
      <c r="B71" s="1"/>
      <c r="D71" s="1"/>
      <c r="E71" s="1"/>
    </row>
    <row r="72" spans="1:5">
      <c r="A72" s="1"/>
      <c r="B72" s="1"/>
      <c r="D72" s="1"/>
      <c r="E72" s="1"/>
    </row>
    <row r="73" spans="1:5">
      <c r="A73" s="1"/>
      <c r="B73" s="1"/>
      <c r="D73" s="1"/>
      <c r="E73" s="1"/>
    </row>
    <row r="74" spans="1:5">
      <c r="A74" s="1"/>
      <c r="B74" s="1"/>
      <c r="D74" s="1"/>
      <c r="E74" s="1"/>
    </row>
    <row r="75" spans="1:5">
      <c r="A75" s="1"/>
      <c r="B75" s="1"/>
      <c r="D75" s="1"/>
      <c r="E75" s="1"/>
    </row>
    <row r="76" spans="1:5">
      <c r="A76" s="1"/>
      <c r="B76" s="1"/>
      <c r="D76" s="1"/>
      <c r="E76" s="1"/>
    </row>
    <row r="77" spans="1:5">
      <c r="A77" s="1"/>
      <c r="B77" s="1"/>
      <c r="D77" s="1"/>
      <c r="E77" s="1"/>
    </row>
    <row r="78" spans="1:5">
      <c r="A78" s="1"/>
      <c r="B78" s="1"/>
      <c r="D78" s="1"/>
      <c r="E78" s="1"/>
    </row>
    <row r="79" spans="1:5">
      <c r="A79" s="1"/>
      <c r="B79" s="1"/>
      <c r="D79" s="1"/>
      <c r="E79" s="1"/>
    </row>
    <row r="80" spans="1:5">
      <c r="A80" s="1"/>
      <c r="B80" s="1"/>
      <c r="D80" s="1"/>
      <c r="E80" s="1"/>
    </row>
    <row r="81" spans="1:5">
      <c r="A81" s="1"/>
      <c r="B81" s="1"/>
      <c r="D81" s="1"/>
      <c r="E81" s="1"/>
    </row>
    <row r="82" spans="1:5">
      <c r="A82" s="1"/>
      <c r="B82" s="1"/>
      <c r="D82" s="1"/>
      <c r="E82" s="1"/>
    </row>
    <row r="83" spans="1:5">
      <c r="A83" s="1"/>
      <c r="B83" s="1"/>
      <c r="D83" s="1"/>
      <c r="E83" s="1"/>
    </row>
    <row r="84" spans="1:5">
      <c r="A84" s="1"/>
      <c r="B84" s="1"/>
      <c r="D84" s="1"/>
      <c r="E84" s="1"/>
    </row>
    <row r="85" spans="1:5">
      <c r="A85" s="1"/>
      <c r="B85" s="1"/>
      <c r="D85" s="1"/>
      <c r="E85" s="1"/>
    </row>
    <row r="86" spans="1:5">
      <c r="A86" s="1"/>
      <c r="B86" s="1"/>
      <c r="D86" s="1"/>
      <c r="E86" s="1"/>
    </row>
    <row r="87" spans="1:5">
      <c r="A87" s="1"/>
      <c r="B87" s="1"/>
      <c r="D87" s="1"/>
      <c r="E87" s="1"/>
    </row>
    <row r="88" spans="1:5">
      <c r="A88" s="1"/>
      <c r="B88" s="1"/>
      <c r="D88" s="1"/>
      <c r="E88" s="1"/>
    </row>
    <row r="89" spans="1:5">
      <c r="A89" s="1"/>
      <c r="B89" s="1"/>
      <c r="D89" s="1"/>
      <c r="E89" s="1"/>
    </row>
    <row r="90" spans="1:5">
      <c r="A90" s="1"/>
      <c r="B90" s="1"/>
      <c r="D90" s="1"/>
      <c r="E90" s="1"/>
    </row>
    <row r="91" spans="1:5">
      <c r="A91" s="1"/>
      <c r="B91" s="1"/>
      <c r="D91" s="1"/>
      <c r="E91" s="1"/>
    </row>
    <row r="92" spans="1:5">
      <c r="A92" s="1"/>
      <c r="B92" s="1"/>
      <c r="D92" s="1"/>
      <c r="E92" s="1"/>
    </row>
    <row r="93" spans="1:5">
      <c r="A93" s="1"/>
      <c r="B93" s="1"/>
      <c r="D93" s="1"/>
      <c r="E93" s="1"/>
    </row>
    <row r="94" spans="1:5">
      <c r="A94" s="1"/>
      <c r="B94" s="1"/>
      <c r="D94" s="1"/>
      <c r="E94" s="1"/>
    </row>
    <row r="95" spans="1:5">
      <c r="A95" s="1"/>
      <c r="B95" s="1"/>
      <c r="D95" s="1"/>
      <c r="E95" s="1"/>
    </row>
    <row r="96" spans="1:5">
      <c r="A96" s="1"/>
      <c r="B96" s="1"/>
      <c r="D96" s="1"/>
      <c r="E96" s="1"/>
    </row>
    <row r="97" spans="1:5">
      <c r="A97" s="1"/>
      <c r="B97" s="1"/>
      <c r="D97" s="1"/>
      <c r="E97" s="1"/>
    </row>
    <row r="98" spans="1:5">
      <c r="A98" s="1"/>
      <c r="B98" s="1"/>
      <c r="D98" s="1"/>
      <c r="E98" s="1"/>
    </row>
    <row r="99" spans="1:5">
      <c r="A99" s="1"/>
      <c r="B99" s="1"/>
      <c r="D99" s="1"/>
      <c r="E99" s="1"/>
    </row>
    <row r="100" spans="1:5">
      <c r="A100" s="1"/>
      <c r="B100" s="1"/>
      <c r="D100" s="1"/>
      <c r="E100" s="1"/>
    </row>
    <row r="101" spans="1:5">
      <c r="A101" s="1"/>
      <c r="B101" s="1"/>
      <c r="D101" s="1"/>
      <c r="E101" s="1"/>
    </row>
    <row r="102" spans="1:5">
      <c r="A102" s="1"/>
      <c r="B102" s="1"/>
      <c r="D102" s="1"/>
      <c r="E102" s="1"/>
    </row>
    <row r="103" spans="1:5">
      <c r="A103" s="1"/>
      <c r="B103" s="1"/>
      <c r="D103" s="1"/>
      <c r="E103" s="1"/>
    </row>
    <row r="104" spans="1:5">
      <c r="A104" s="1"/>
      <c r="B104" s="1"/>
      <c r="D104" s="1"/>
      <c r="E104" s="1"/>
    </row>
    <row r="105" spans="1:5">
      <c r="A105" s="1"/>
      <c r="B105" s="1"/>
      <c r="D105" s="1"/>
      <c r="E105" s="1"/>
    </row>
    <row r="106" spans="1:5">
      <c r="A106" s="1"/>
      <c r="B106" s="1"/>
      <c r="D106" s="1"/>
      <c r="E106" s="1"/>
    </row>
    <row r="107" spans="1:5">
      <c r="A107" s="1"/>
      <c r="B107" s="1"/>
      <c r="D107" s="1"/>
      <c r="E107" s="1"/>
    </row>
    <row r="108" spans="1:5">
      <c r="A108" s="1"/>
      <c r="B108" s="1"/>
      <c r="D108" s="1"/>
      <c r="E108" s="1"/>
    </row>
    <row r="109" spans="1:5">
      <c r="A109" s="1"/>
      <c r="B109" s="1"/>
      <c r="D109" s="1"/>
      <c r="E109" s="1"/>
    </row>
    <row r="110" spans="1:5">
      <c r="A110" s="1"/>
      <c r="B110" s="1"/>
      <c r="D110" s="1"/>
      <c r="E110" s="1"/>
    </row>
    <row r="111" spans="1:5">
      <c r="A111" s="1"/>
      <c r="B111" s="1"/>
      <c r="D111" s="1"/>
      <c r="E111" s="1"/>
    </row>
    <row r="112" spans="1:5">
      <c r="A112" s="1"/>
      <c r="B112" s="1"/>
      <c r="D112" s="1"/>
      <c r="E112" s="1"/>
    </row>
    <row r="113" spans="1:5">
      <c r="A113" s="1"/>
      <c r="B113" s="1"/>
      <c r="D113" s="1"/>
      <c r="E113" s="1"/>
    </row>
    <row r="114" spans="1:5">
      <c r="A114" s="1"/>
      <c r="B114" s="1"/>
      <c r="D114" s="1"/>
      <c r="E114" s="1"/>
    </row>
    <row r="115" spans="1:5">
      <c r="A115" s="1"/>
      <c r="B115" s="1"/>
      <c r="D115" s="1"/>
      <c r="E115" s="1"/>
    </row>
    <row r="116" spans="1:5">
      <c r="A116" s="1"/>
      <c r="B116" s="1"/>
      <c r="D116" s="1"/>
      <c r="E116" s="1"/>
    </row>
    <row r="117" spans="1:5">
      <c r="A117" s="1"/>
      <c r="B117" s="1"/>
      <c r="D117" s="1"/>
      <c r="E117" s="1"/>
    </row>
    <row r="118" spans="1:5">
      <c r="A118" s="1"/>
      <c r="B118" s="1"/>
      <c r="D118" s="1"/>
      <c r="E118" s="1"/>
    </row>
    <row r="119" spans="1:5">
      <c r="A119" s="1"/>
      <c r="B119" s="1"/>
      <c r="D119" s="1"/>
      <c r="E119" s="1"/>
    </row>
    <row r="120" spans="1:5">
      <c r="A120" s="1"/>
      <c r="B120" s="1"/>
      <c r="D120" s="1"/>
      <c r="E120" s="1"/>
    </row>
    <row r="121" spans="1:5">
      <c r="A121" s="1"/>
      <c r="B121" s="1"/>
      <c r="D121" s="1"/>
      <c r="E121" s="1"/>
    </row>
    <row r="122" spans="1:5">
      <c r="A122" s="1"/>
      <c r="B122" s="1"/>
      <c r="D122" s="1"/>
      <c r="E122" s="1"/>
    </row>
    <row r="123" spans="1:5">
      <c r="A123" s="1"/>
      <c r="B123" s="1"/>
      <c r="D123" s="1"/>
      <c r="E123" s="1"/>
    </row>
    <row r="124" spans="1:5">
      <c r="A124" s="1"/>
      <c r="B124" s="1"/>
      <c r="D124" s="1"/>
      <c r="E124" s="1"/>
    </row>
    <row r="125" spans="1:5">
      <c r="A125" s="1"/>
      <c r="B125" s="1"/>
      <c r="D125" s="1"/>
      <c r="E125" s="1"/>
    </row>
    <row r="126" spans="1:5">
      <c r="A126" s="1"/>
      <c r="B126" s="1"/>
      <c r="D126" s="1"/>
      <c r="E126" s="1"/>
    </row>
    <row r="127" spans="1:5">
      <c r="A127" s="1"/>
      <c r="B127" s="1"/>
      <c r="D127" s="1"/>
      <c r="E127" s="1"/>
    </row>
    <row r="128" spans="1:5">
      <c r="A128" s="1"/>
      <c r="B128" s="1"/>
      <c r="D128" s="1"/>
      <c r="E128" s="1"/>
    </row>
    <row r="129" spans="1:5">
      <c r="A129" s="1"/>
      <c r="B129" s="1"/>
      <c r="D129" s="1"/>
      <c r="E129" s="1"/>
    </row>
    <row r="130" spans="1:5">
      <c r="A130" s="1"/>
      <c r="B130" s="1"/>
      <c r="D130" s="1"/>
      <c r="E130" s="1"/>
    </row>
    <row r="131" spans="1:5">
      <c r="A131" s="1"/>
      <c r="B131" s="1"/>
      <c r="D131" s="1"/>
      <c r="E131" s="1"/>
    </row>
    <row r="132" spans="1:5">
      <c r="A132" s="1"/>
      <c r="B132" s="1"/>
      <c r="D132" s="1"/>
      <c r="E132" s="1"/>
    </row>
    <row r="133" spans="1:5">
      <c r="A133" s="1"/>
      <c r="B133" s="1"/>
      <c r="D133" s="1"/>
      <c r="E133" s="1"/>
    </row>
    <row r="134" spans="1:5">
      <c r="A134" s="1"/>
      <c r="B134" s="1"/>
      <c r="D134" s="1"/>
      <c r="E134" s="1"/>
    </row>
    <row r="135" spans="1:5">
      <c r="A135" s="1"/>
      <c r="B135" s="1"/>
      <c r="D135" s="1"/>
      <c r="E135" s="1"/>
    </row>
    <row r="136" spans="1:5">
      <c r="A136" s="1"/>
      <c r="B136" s="1"/>
      <c r="D136" s="1"/>
      <c r="E136" s="1"/>
    </row>
    <row r="137" spans="1:5">
      <c r="A137" s="1"/>
      <c r="B137" s="1"/>
      <c r="D137" s="1"/>
      <c r="E137" s="1"/>
    </row>
    <row r="138" spans="1:5">
      <c r="A138" s="1"/>
      <c r="B138" s="1"/>
      <c r="D138" s="1"/>
      <c r="E138" s="1"/>
    </row>
    <row r="139" spans="1:5">
      <c r="A139" s="1"/>
      <c r="B139" s="1"/>
      <c r="D139" s="1"/>
      <c r="E139" s="1"/>
    </row>
    <row r="140" spans="1:5">
      <c r="A140" s="1"/>
      <c r="B140" s="1"/>
      <c r="D140" s="1"/>
      <c r="E140" s="1"/>
    </row>
    <row r="141" spans="1:5">
      <c r="A141" s="1"/>
      <c r="B141" s="1"/>
      <c r="D141" s="1"/>
      <c r="E141" s="1"/>
    </row>
    <row r="142" spans="1:5">
      <c r="A142" s="1"/>
      <c r="B142" s="1"/>
      <c r="D142" s="1"/>
      <c r="E142" s="1"/>
    </row>
    <row r="143" spans="1:5">
      <c r="A143" s="1"/>
      <c r="B143" s="1"/>
      <c r="D143" s="1"/>
      <c r="E143" s="1"/>
    </row>
    <row r="144" spans="1:5">
      <c r="A144" s="1"/>
      <c r="B144" s="1"/>
      <c r="D144" s="1"/>
      <c r="E144" s="1"/>
    </row>
    <row r="145" spans="1:5">
      <c r="A145" s="1"/>
      <c r="B145" s="1"/>
      <c r="D145" s="1"/>
      <c r="E145" s="1"/>
    </row>
    <row r="146" spans="1:5">
      <c r="A146" s="1"/>
      <c r="B146" s="1"/>
      <c r="D146" s="1"/>
      <c r="E146" s="1"/>
    </row>
    <row r="147" spans="1:5">
      <c r="A147" s="1"/>
      <c r="B147" s="1"/>
      <c r="D147" s="1"/>
      <c r="E147" s="1"/>
    </row>
    <row r="148" spans="1:5">
      <c r="A148" s="1"/>
      <c r="B148" s="1"/>
      <c r="D148" s="1"/>
      <c r="E148" s="1"/>
    </row>
    <row r="149" spans="1:5">
      <c r="A149" s="1"/>
      <c r="B149" s="1"/>
      <c r="D149" s="1"/>
      <c r="E149" s="1"/>
    </row>
    <row r="150" spans="1:5">
      <c r="A150" s="1"/>
      <c r="B150" s="1"/>
      <c r="D150" s="1"/>
      <c r="E150" s="1"/>
    </row>
    <row r="151" spans="1:5">
      <c r="A151" s="1"/>
      <c r="B151" s="1"/>
      <c r="D151" s="1"/>
      <c r="E151" s="1"/>
    </row>
    <row r="152" spans="1:5">
      <c r="A152" s="1"/>
      <c r="B152" s="1"/>
      <c r="D152" s="1"/>
      <c r="E152" s="1"/>
    </row>
    <row r="153" spans="1:5">
      <c r="A153" s="1"/>
      <c r="B153" s="1"/>
      <c r="D153" s="1"/>
      <c r="E153" s="1"/>
    </row>
    <row r="154" spans="1:5">
      <c r="A154" s="1"/>
      <c r="B154" s="1"/>
      <c r="D154" s="1"/>
      <c r="E154" s="1"/>
    </row>
    <row r="155" spans="1:5">
      <c r="A155" s="1"/>
      <c r="B155" s="1"/>
    </row>
    <row r="156" spans="1:5">
      <c r="A156" s="1"/>
      <c r="B156" s="1"/>
    </row>
    <row r="157" spans="1:5">
      <c r="A157" s="1"/>
      <c r="B157" s="1"/>
    </row>
    <row r="158" spans="1:5">
      <c r="A158" s="1"/>
      <c r="B158" s="1"/>
    </row>
    <row r="159" spans="1:5">
      <c r="A159" s="1"/>
      <c r="B159" s="1"/>
    </row>
    <row r="160" spans="1:5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DAEE4-8016-4211-9A59-9AE24F90FB4A}">
  <dimension ref="A1:B31"/>
  <sheetViews>
    <sheetView topLeftCell="A21" workbookViewId="0">
      <selection activeCell="B32" sqref="B32"/>
    </sheetView>
  </sheetViews>
  <sheetFormatPr defaultRowHeight="15"/>
  <cols>
    <col min="1" max="1" width="27.140625" style="1" bestFit="1" customWidth="1"/>
    <col min="2" max="2" width="13.28515625" bestFit="1" customWidth="1"/>
  </cols>
  <sheetData>
    <row r="1" spans="1:2">
      <c r="A1" s="1" t="s">
        <v>174</v>
      </c>
      <c r="B1" t="s">
        <v>1</v>
      </c>
    </row>
    <row r="2" spans="1:2">
      <c r="A2" s="1" t="s">
        <v>159</v>
      </c>
      <c r="B2" s="1" t="s">
        <v>175</v>
      </c>
    </row>
    <row r="3" spans="1:2">
      <c r="A3" s="1" t="s">
        <v>157</v>
      </c>
      <c r="B3" s="1" t="s">
        <v>176</v>
      </c>
    </row>
    <row r="4" spans="1:2">
      <c r="A4" s="1" t="s">
        <v>142</v>
      </c>
      <c r="B4" s="1" t="s">
        <v>177</v>
      </c>
    </row>
    <row r="5" spans="1:2">
      <c r="A5" s="1" t="s">
        <v>143</v>
      </c>
      <c r="B5" s="1" t="s">
        <v>178</v>
      </c>
    </row>
    <row r="6" spans="1:2">
      <c r="A6" s="1" t="s">
        <v>145</v>
      </c>
      <c r="B6" s="1" t="s">
        <v>179</v>
      </c>
    </row>
    <row r="7" spans="1:2">
      <c r="A7" s="1" t="s">
        <v>149</v>
      </c>
      <c r="B7" s="1" t="s">
        <v>180</v>
      </c>
    </row>
    <row r="8" spans="1:2">
      <c r="A8" s="1" t="s">
        <v>146</v>
      </c>
      <c r="B8" s="1" t="s">
        <v>181</v>
      </c>
    </row>
    <row r="9" spans="1:2">
      <c r="A9" s="1" t="s">
        <v>162</v>
      </c>
      <c r="B9" s="1" t="s">
        <v>182</v>
      </c>
    </row>
    <row r="10" spans="1:2">
      <c r="A10" s="1" t="s">
        <v>151</v>
      </c>
      <c r="B10" s="1" t="s">
        <v>183</v>
      </c>
    </row>
    <row r="11" spans="1:2">
      <c r="A11" s="1" t="s">
        <v>144</v>
      </c>
      <c r="B11" s="1" t="s">
        <v>184</v>
      </c>
    </row>
    <row r="12" spans="1:2">
      <c r="A12" s="1" t="s">
        <v>161</v>
      </c>
      <c r="B12" s="1" t="s">
        <v>185</v>
      </c>
    </row>
    <row r="13" spans="1:2">
      <c r="A13" s="1" t="s">
        <v>156</v>
      </c>
      <c r="B13" s="1" t="s">
        <v>186</v>
      </c>
    </row>
    <row r="14" spans="1:2">
      <c r="A14" s="1" t="s">
        <v>147</v>
      </c>
      <c r="B14" s="1" t="s">
        <v>187</v>
      </c>
    </row>
    <row r="15" spans="1:2">
      <c r="A15" s="1" t="s">
        <v>148</v>
      </c>
      <c r="B15" s="1" t="s">
        <v>188</v>
      </c>
    </row>
    <row r="16" spans="1:2">
      <c r="A16" s="1" t="s">
        <v>158</v>
      </c>
      <c r="B16" s="1" t="s">
        <v>189</v>
      </c>
    </row>
    <row r="17" spans="1:2">
      <c r="A17" s="1" t="s">
        <v>150</v>
      </c>
      <c r="B17" s="1" t="s">
        <v>190</v>
      </c>
    </row>
    <row r="18" spans="1:2">
      <c r="A18" s="1" t="s">
        <v>153</v>
      </c>
      <c r="B18" s="1" t="s">
        <v>191</v>
      </c>
    </row>
    <row r="19" spans="1:2">
      <c r="A19" s="1" t="s">
        <v>154</v>
      </c>
      <c r="B19" s="1" t="s">
        <v>192</v>
      </c>
    </row>
    <row r="20" spans="1:2">
      <c r="A20" s="1" t="s">
        <v>152</v>
      </c>
      <c r="B20" s="1" t="s">
        <v>193</v>
      </c>
    </row>
    <row r="21" spans="1:2">
      <c r="A21" s="1" t="s">
        <v>155</v>
      </c>
      <c r="B21" s="1" t="s">
        <v>194</v>
      </c>
    </row>
    <row r="22" spans="1:2">
      <c r="A22" s="1" t="s">
        <v>163</v>
      </c>
      <c r="B22" s="1" t="s">
        <v>195</v>
      </c>
    </row>
    <row r="23" spans="1:2">
      <c r="A23" s="1" t="s">
        <v>160</v>
      </c>
      <c r="B23" s="1" t="s">
        <v>196</v>
      </c>
    </row>
    <row r="24" spans="1:2">
      <c r="A24" s="1" t="s">
        <v>165</v>
      </c>
      <c r="B24" s="1" t="s">
        <v>197</v>
      </c>
    </row>
    <row r="25" spans="1:2">
      <c r="A25" s="1" t="s">
        <v>170</v>
      </c>
      <c r="B25" s="1" t="s">
        <v>198</v>
      </c>
    </row>
    <row r="26" spans="1:2">
      <c r="A26" s="1" t="s">
        <v>164</v>
      </c>
      <c r="B26" s="1" t="s">
        <v>199</v>
      </c>
    </row>
    <row r="27" spans="1:2">
      <c r="A27" s="1" t="s">
        <v>166</v>
      </c>
      <c r="B27" s="1" t="s">
        <v>200</v>
      </c>
    </row>
    <row r="28" spans="1:2">
      <c r="A28" s="1" t="s">
        <v>167</v>
      </c>
      <c r="B28" s="1" t="s">
        <v>201</v>
      </c>
    </row>
    <row r="29" spans="1:2">
      <c r="A29" s="1" t="s">
        <v>173</v>
      </c>
      <c r="B29" s="1" t="s">
        <v>202</v>
      </c>
    </row>
    <row r="30" spans="1:2">
      <c r="A30" s="1" t="s">
        <v>168</v>
      </c>
      <c r="B30" s="1" t="s">
        <v>203</v>
      </c>
    </row>
    <row r="31" spans="1:2">
      <c r="A31" s="1" t="s">
        <v>169</v>
      </c>
      <c r="B31" s="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2024-07-19T05:50:18Z</dcterms:created>
  <dcterms:modified xsi:type="dcterms:W3CDTF">2024-08-20T05:34:23Z</dcterms:modified>
  <cp:category/>
  <cp:contentStatus/>
</cp:coreProperties>
</file>