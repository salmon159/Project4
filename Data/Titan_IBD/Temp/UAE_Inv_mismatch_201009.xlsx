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53" documentId="11_0B1D56BE9CDCCE836B02CE7A5FB0D4A9BBFD1C62" xr6:coauthVersionLast="47" xr6:coauthVersionMax="47" xr10:uidLastSave="{1C0A42FF-34B4-4CAE-8946-320A885EE9E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J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2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</calcChain>
</file>

<file path=xl/sharedStrings.xml><?xml version="1.0" encoding="utf-8"?>
<sst xmlns="http://schemas.openxmlformats.org/spreadsheetml/2006/main" count="542" uniqueCount="278">
  <si>
    <t>PARTNUMBER</t>
  </si>
  <si>
    <t>LOTNUMBER</t>
  </si>
  <si>
    <t>PRODUCTNAME</t>
  </si>
  <si>
    <t>HASINVENTORY</t>
  </si>
  <si>
    <t>LASTINVENTORYUPDATE</t>
  </si>
  <si>
    <t>BUYABLE</t>
  </si>
  <si>
    <t>Item ID_CAPS</t>
  </si>
  <si>
    <t>Item_ID_inv</t>
  </si>
  <si>
    <t>Store</t>
  </si>
  <si>
    <t>Quantity</t>
  </si>
  <si>
    <t>Item_ID</t>
  </si>
  <si>
    <t>Item_ID_trimmed</t>
  </si>
  <si>
    <t>el2811pryaaa02</t>
  </si>
  <si>
    <t>el2811pryaaa023ia000011</t>
  </si>
  <si>
    <t>18KT Floral Gold &amp; Diamond Pendant</t>
  </si>
  <si>
    <t>2025-10-08 10:33:17 IST</t>
  </si>
  <si>
    <t xml:space="preserve">EL2811PRYAAA023IA000007                 </t>
  </si>
  <si>
    <t>XDS</t>
  </si>
  <si>
    <t>el2811pryaaa023ia000007</t>
  </si>
  <si>
    <t xml:space="preserve">EL2811PRYAAA023IA000011                 </t>
  </si>
  <si>
    <t>el2811sjaaba02</t>
  </si>
  <si>
    <t>el2811sjaaba023ia000006</t>
  </si>
  <si>
    <t>Mia by Tanishq 18KT Yellow Gold Diamond Stud Earrings with Open Floral Design</t>
  </si>
  <si>
    <t xml:space="preserve">EL2811SJAABA023IA000003                 </t>
  </si>
  <si>
    <t>XDJ</t>
  </si>
  <si>
    <t>el2811sjaaba023ia000003</t>
  </si>
  <si>
    <t xml:space="preserve">EL2811SJAABA023IA000006                 </t>
  </si>
  <si>
    <t>XSL</t>
  </si>
  <si>
    <t>el2811sjaaba023ia000007</t>
  </si>
  <si>
    <t xml:space="preserve">EL2811SJAABA023IA000007                 </t>
  </si>
  <si>
    <t>el2812puvaaa32</t>
  </si>
  <si>
    <t>el2812puvaaa322ja000009</t>
  </si>
  <si>
    <t>Mia Glintz by Tanishq 18KT Rose Gold Diamond And Sapphire Pendant</t>
  </si>
  <si>
    <t xml:space="preserve">EL2812PUVAAA322JA000009                 </t>
  </si>
  <si>
    <t>el2812sqnaaa02</t>
  </si>
  <si>
    <t>el2812sqnaaa022ja000005</t>
  </si>
  <si>
    <t>Mia All-Rounders by Tanishq 18KT Yellow Gold Hoop Earrings with C-Design</t>
  </si>
  <si>
    <t xml:space="preserve">EL2812SQNAAA022JA000004                 </t>
  </si>
  <si>
    <t>XDG</t>
  </si>
  <si>
    <t>el2812sqnaaa022ja000004</t>
  </si>
  <si>
    <t xml:space="preserve">EL2812SQNAAA022JA000005                 </t>
  </si>
  <si>
    <t>el2818pexaaa02</t>
  </si>
  <si>
    <t>el2818pexaaa022ja000002</t>
  </si>
  <si>
    <t>Mia by Tanishq 18KT Rose Gold Diamond Pendant</t>
  </si>
  <si>
    <t xml:space="preserve">EL2818PEXAAA022JA000002                 </t>
  </si>
  <si>
    <t>el2818pexaaa023ia000004</t>
  </si>
  <si>
    <t xml:space="preserve">EL2818PEXAAA022JA000006                 </t>
  </si>
  <si>
    <t>el2818pexaaa023ia000005</t>
  </si>
  <si>
    <t xml:space="preserve">EL2818PEXAAA023IA000004                 </t>
  </si>
  <si>
    <t>el2818pexaaa022ja000006</t>
  </si>
  <si>
    <t xml:space="preserve">EL2818PEXAAA023IA000005                 </t>
  </si>
  <si>
    <t>el2818sexaaa02</t>
  </si>
  <si>
    <t>el2818sexaaa022ja000002</t>
  </si>
  <si>
    <t>Mia by Tanishq 18KT Rose Gold Diamond Stud Earrings</t>
  </si>
  <si>
    <t xml:space="preserve">EL2818SEXAAA022JA000002                 </t>
  </si>
  <si>
    <t>el2818sexaaa023ia000007</t>
  </si>
  <si>
    <t xml:space="preserve">EL2818SEXAAA023IA000006                 </t>
  </si>
  <si>
    <t>el2818sexaaa023ia000006</t>
  </si>
  <si>
    <t xml:space="preserve">EL2818SEXAAA023IA000007                 </t>
  </si>
  <si>
    <t>el2818shlaaa02</t>
  </si>
  <si>
    <t>el2818shlaaa022jd000007</t>
  </si>
  <si>
    <t>Mia by Tanishq 18KT Yellow and Rose Gold Diamond Stud Earrings</t>
  </si>
  <si>
    <t xml:space="preserve">EL2818SHLAAA022JD000007                 </t>
  </si>
  <si>
    <t>el2818shlaaa022jd000008</t>
  </si>
  <si>
    <t xml:space="preserve">EL2818SHLAAA022JD000008                 </t>
  </si>
  <si>
    <t>el2819pelaaa02</t>
  </si>
  <si>
    <t>el2819pelaaa022jd000002</t>
  </si>
  <si>
    <t>Mia by Tanishq 18KT Yellow Gold Diamond Pendant</t>
  </si>
  <si>
    <t xml:space="preserve">EL2819PELAAA022JD000002                 </t>
  </si>
  <si>
    <t>el2819pelaaa022jd000008</t>
  </si>
  <si>
    <t xml:space="preserve">EL2819PELAAA022JD000007                 </t>
  </si>
  <si>
    <t>el2819pelaaa022jd000007</t>
  </si>
  <si>
    <t xml:space="preserve">EL2819PELAAA022JD000008                 </t>
  </si>
  <si>
    <t>el2819pigaaa02</t>
  </si>
  <si>
    <t>el2819pigaaa021bl000001</t>
  </si>
  <si>
    <t>Diamond Heart Pendant Necklace</t>
  </si>
  <si>
    <t xml:space="preserve">EL2819PIGAAA021BL000001                 </t>
  </si>
  <si>
    <t>el2819pigaaa021bl000005</t>
  </si>
  <si>
    <t xml:space="preserve">EL2819PIGAAA021BL000004                 </t>
  </si>
  <si>
    <t>el2819pigaaa021bl000004</t>
  </si>
  <si>
    <t xml:space="preserve">EL2819PIGAAA021BL000005                 </t>
  </si>
  <si>
    <t>el2819ptwaaa02</t>
  </si>
  <si>
    <t>el2819ptwaaa023ia000007</t>
  </si>
  <si>
    <t>Mia by Tanishq 18KT Yellow Gold Pendant with Diamonds</t>
  </si>
  <si>
    <t xml:space="preserve">EL2819PTWAAA023IA000007                 </t>
  </si>
  <si>
    <t>el2819ptwaaa023ia000008</t>
  </si>
  <si>
    <t xml:space="preserve">EL2819PTWAAA023IA000008                 </t>
  </si>
  <si>
    <t>el2819sgkaaa02</t>
  </si>
  <si>
    <t>el2819sgkaaa021bl000003</t>
  </si>
  <si>
    <t>18KT Yellow Gold Diamond Stud Earrings</t>
  </si>
  <si>
    <t xml:space="preserve">EL2819SGKAAA021BL000003                 </t>
  </si>
  <si>
    <t>el2819sgmaaa02</t>
  </si>
  <si>
    <t>el2819sgmaaa021bl000005</t>
  </si>
  <si>
    <t>Yellow Gold Diamond Stud Earrings</t>
  </si>
  <si>
    <t xml:space="preserve">EL2819SGMAAA021BL000005                 </t>
  </si>
  <si>
    <t>el2822pykaaa02</t>
  </si>
  <si>
    <t>el2822pykaaa022hd000003</t>
  </si>
  <si>
    <t>Mamma Mia 18 KT Yellow Gold Iconic  Pendant</t>
  </si>
  <si>
    <t xml:space="preserve">EL2822PYKAAA022HD000003                 </t>
  </si>
  <si>
    <t>el2822pykaaa022hd000005</t>
  </si>
  <si>
    <t xml:space="preserve">EL2822PYKAAA022HD000005                 </t>
  </si>
  <si>
    <t>el2822pykaaa022hd000006</t>
  </si>
  <si>
    <t xml:space="preserve">EL2822PYKAAA022HD000006                 </t>
  </si>
  <si>
    <t>XDT</t>
  </si>
  <si>
    <t>el2822setaaa02</t>
  </si>
  <si>
    <t>el2822setaaa022ja000011</t>
  </si>
  <si>
    <t>18kt Yellow Gold Earring - An Underwater Bliss</t>
  </si>
  <si>
    <t xml:space="preserve">EL2822SETAAA022JA000011                 </t>
  </si>
  <si>
    <t>el2822setaaa022ja000012</t>
  </si>
  <si>
    <t xml:space="preserve">EL2822SETAAA022JA000012                 </t>
  </si>
  <si>
    <t>el2822skfaaa02</t>
  </si>
  <si>
    <t>el2822skfaaa022ja000014</t>
  </si>
  <si>
    <t>18 Karat Yellow Gold Elegant Abstract Diamond Stud Earrings</t>
  </si>
  <si>
    <t xml:space="preserve">EL2822SKFAAA022JA000014                 </t>
  </si>
  <si>
    <t>el2822skfaaa022ja000015</t>
  </si>
  <si>
    <t xml:space="preserve">EL2822SKFAAA022JA000015                 </t>
  </si>
  <si>
    <t>el2822steaaa02</t>
  </si>
  <si>
    <t>el2822steaaa022ja000009</t>
  </si>
  <si>
    <t>Dainty Spark Diamond 18KT Yellow Gold Stud Earrings</t>
  </si>
  <si>
    <t xml:space="preserve">EL2822STEAAA022JA000009                 </t>
  </si>
  <si>
    <t>el2823pakaaa02</t>
  </si>
  <si>
    <t>el2823pakaaa021bl000003</t>
  </si>
  <si>
    <t>18 KT Yellow Gold Fluttering Leaves Diamond Pendant</t>
  </si>
  <si>
    <t xml:space="preserve">EL2823PAKAAA021BL000003                 </t>
  </si>
  <si>
    <t>el2823pakaaa021bl000004</t>
  </si>
  <si>
    <t xml:space="preserve">EL2823PAKAAA021BL000004                 </t>
  </si>
  <si>
    <t>el2922pcsaaa02</t>
  </si>
  <si>
    <t>el2922pcsaaa022jd000005</t>
  </si>
  <si>
    <t>18 KTYellow Gold Interlocking Pendant</t>
  </si>
  <si>
    <t xml:space="preserve">EL2922PCSAAA022JD000003                 </t>
  </si>
  <si>
    <t>el2922pcsaaa022jd000004</t>
  </si>
  <si>
    <t xml:space="preserve">EL2922PCSAAA022JD000004                 </t>
  </si>
  <si>
    <t>el2922pcsaaa022jd000003</t>
  </si>
  <si>
    <t xml:space="preserve">EL2922PCSAAA022JD000005                 </t>
  </si>
  <si>
    <t>el2922pmtaaa32</t>
  </si>
  <si>
    <t>el2922pmtaaa322jd000002</t>
  </si>
  <si>
    <t>18 KT Yellow Gold Sparkling Pair Diamond and Pink Sapphire Pendant</t>
  </si>
  <si>
    <t xml:space="preserve">EL2922PMTAAA322JD000002                 </t>
  </si>
  <si>
    <t>el2922pmtaaa322jd000004</t>
  </si>
  <si>
    <t xml:space="preserve">EL2922PMTAAA322JD000003                 </t>
  </si>
  <si>
    <t>XDK</t>
  </si>
  <si>
    <t>el2922pmtaaa322jd000003</t>
  </si>
  <si>
    <t xml:space="preserve">EL2922PMTAAA322JD000004                 </t>
  </si>
  <si>
    <t>el2922scwaaa02</t>
  </si>
  <si>
    <t>el2922scwaaa022jd000004</t>
  </si>
  <si>
    <t>18 KT Detachable Yellow And White Gold Sparkling Sunrise Stud Earrings</t>
  </si>
  <si>
    <t xml:space="preserve">EL2922SCWAAA022JD000004                 </t>
  </si>
  <si>
    <t>el2922scwaaa022jd000005</t>
  </si>
  <si>
    <t xml:space="preserve">EL2922SCWAAA022JD000005                 </t>
  </si>
  <si>
    <t>el2923pygaaa02</t>
  </si>
  <si>
    <t>el2923pygaaa021bl000001</t>
  </si>
  <si>
    <t>Heartbeat Wingspan 18KT Gold &amp; Diamond Pendant</t>
  </si>
  <si>
    <t xml:space="preserve">EL2923PYGAAA021BL000001                 </t>
  </si>
  <si>
    <t>el2923pygaaa022hd000003</t>
  </si>
  <si>
    <t xml:space="preserve">EL2923PYGAAA022HD000003                 </t>
  </si>
  <si>
    <t>el3023sdkafa02</t>
  </si>
  <si>
    <t>el3023sdkafa022ja000003</t>
  </si>
  <si>
    <t>Whispering Wind 18 Kt Gold &amp; Diamond Stud Earrings</t>
  </si>
  <si>
    <t xml:space="preserve">EL3023SDKAFA022JA000003                 </t>
  </si>
  <si>
    <t>el3023sdrada02</t>
  </si>
  <si>
    <t>el3023sdrada022ja000004</t>
  </si>
  <si>
    <t>Floral Swirls 18 KTGold &amp; Diamond Stud Earrings</t>
  </si>
  <si>
    <t xml:space="preserve">EL3023SDRADA022JA000002                 </t>
  </si>
  <si>
    <t>el3023sdrada022ja000006</t>
  </si>
  <si>
    <t xml:space="preserve">EL3023SDRADA022JA000004                 </t>
  </si>
  <si>
    <t>el3023sdrada022ja000002</t>
  </si>
  <si>
    <t xml:space="preserve">EL3023SDRADA022JA000005                 </t>
  </si>
  <si>
    <t>el3023sdrada022ja000005</t>
  </si>
  <si>
    <t xml:space="preserve">EL3023SDRADA022JA000006                 </t>
  </si>
  <si>
    <t>el3023sdrada022ja000007</t>
  </si>
  <si>
    <t xml:space="preserve">EL3023SDRADA022JA000007                 </t>
  </si>
  <si>
    <t>el3023sdtafa02</t>
  </si>
  <si>
    <t>el3023sdtafa022ja000005</t>
  </si>
  <si>
    <t>Petal Radiance 18 Kt Gold &amp; Diamond Stud Earrings</t>
  </si>
  <si>
    <t xml:space="preserve">EL3023SDTAFA022JA000001                 </t>
  </si>
  <si>
    <t>el3023sdtafa022ja000001</t>
  </si>
  <si>
    <t xml:space="preserve">EL3023SDTAFA022JA000005                 </t>
  </si>
  <si>
    <t>el3023sexafa02</t>
  </si>
  <si>
    <t>el3023sexafa022ja000002</t>
  </si>
  <si>
    <t>Willow Whispers 18 KTGold &amp; Diamond Stud Earrings</t>
  </si>
  <si>
    <t xml:space="preserve">EL3023SEXAFA022JA000002                 </t>
  </si>
  <si>
    <t>el3023sezada02</t>
  </si>
  <si>
    <t>el3023sezada022hd000003</t>
  </si>
  <si>
    <t>Flowing Rivulet 18 KTGold &amp; Diamond Stud Earrings</t>
  </si>
  <si>
    <t xml:space="preserve">EL3023SEZADA022HD000003                 </t>
  </si>
  <si>
    <t>el3023sezada022hd000007</t>
  </si>
  <si>
    <t xml:space="preserve">EL3023SEZADA022HD000007                 </t>
  </si>
  <si>
    <t>el3024pejaaa02</t>
  </si>
  <si>
    <t>el3024pejaaa022hd000002</t>
  </si>
  <si>
    <t>Balaji Shankh Chakra Namah Gold and Diamond Pendant</t>
  </si>
  <si>
    <t xml:space="preserve">EL3024PEJAAA022HD000002                 </t>
  </si>
  <si>
    <t>el3024pgxaaa02</t>
  </si>
  <si>
    <t>el3024pgxaaa021bl000001</t>
  </si>
  <si>
    <t>Groovy Glow Gold &amp; Diamond Pendant</t>
  </si>
  <si>
    <t xml:space="preserve">EL3024PGXAAA021BL000001                 </t>
  </si>
  <si>
    <t>el3024phmaaa32</t>
  </si>
  <si>
    <t>el3024phmaaa321bl000006</t>
  </si>
  <si>
    <t>Disco Shine Diamond &amp; Ruby Pendant</t>
  </si>
  <si>
    <t xml:space="preserve">EL3024PHMAAA321BL000004                 </t>
  </si>
  <si>
    <t>el3024phmaaa321bl000004</t>
  </si>
  <si>
    <t xml:space="preserve">EL3024PHMAAA321BL000005                 </t>
  </si>
  <si>
    <t>el3024phmaaa321bl000005</t>
  </si>
  <si>
    <t xml:space="preserve">EL3024PHMAAA321BL000006                 </t>
  </si>
  <si>
    <t>el3822pgzaaa02</t>
  </si>
  <si>
    <t>el3822pgzaaa021bl000002</t>
  </si>
  <si>
    <t>18 KT Yellow Gold Rectangular Diamond Pendant</t>
  </si>
  <si>
    <t xml:space="preserve">EL3822PGZAAA021BL000002                 </t>
  </si>
  <si>
    <t>el3822pgzaaa021bl000003</t>
  </si>
  <si>
    <t xml:space="preserve">EL3822PGZAAA021BL000003                 </t>
  </si>
  <si>
    <t>el3823bjpaa02</t>
  </si>
  <si>
    <t>el3823bjpbaa022jd000004</t>
  </si>
  <si>
    <t>18Kt Rose Gold Hex Appeal Diamond Bracelet</t>
  </si>
  <si>
    <t xml:space="preserve">EL3823BJPBAA022JD000003                 </t>
  </si>
  <si>
    <t>el3823bjpbaa022jd000003</t>
  </si>
  <si>
    <t xml:space="preserve">EL3823BJPBAA022JD000004                 </t>
  </si>
  <si>
    <t>el3823paqaaa02</t>
  </si>
  <si>
    <t>el3823paqaaa021bl000001</t>
  </si>
  <si>
    <t>18KT Yellow Gold Golden Gallop Diamond Pendant</t>
  </si>
  <si>
    <t xml:space="preserve">EL3823PAQAAA021BL000001                 </t>
  </si>
  <si>
    <t>el3823paqaaa021bl000002</t>
  </si>
  <si>
    <t xml:space="preserve">EL3823PAQAAA021BL000002                 </t>
  </si>
  <si>
    <t>el3823paqaaa021bl000004</t>
  </si>
  <si>
    <t xml:space="preserve">EL3823PAQAAA021BL000004                 </t>
  </si>
  <si>
    <t>el3823paraaa02</t>
  </si>
  <si>
    <t>el3823paraaa021bl000002</t>
  </si>
  <si>
    <t>18KT Yellow Gold Lucky Trunk Diamond Pendant</t>
  </si>
  <si>
    <t xml:space="preserve">EL3823PARAAA021BL000001                 </t>
  </si>
  <si>
    <t>el3823paraaa021bl000001</t>
  </si>
  <si>
    <t xml:space="preserve">EL3823PARAAA021BL000002                 </t>
  </si>
  <si>
    <t>el3823paraaa021bl000003</t>
  </si>
  <si>
    <t xml:space="preserve">EL3823PARAAA021BL000003                 </t>
  </si>
  <si>
    <t>el3823pliaaa02</t>
  </si>
  <si>
    <t>el3823pliaaa022jd000005</t>
  </si>
  <si>
    <t>18Kt Yellow Gold Blooming Beauty Diamond Pendant</t>
  </si>
  <si>
    <t xml:space="preserve">EL3823PLIAAA022JD000005                 </t>
  </si>
  <si>
    <t>el3823pliaaa022jd000006</t>
  </si>
  <si>
    <t xml:space="preserve">EL3823PLIAAA022JD000006                 </t>
  </si>
  <si>
    <t>el3823sgsaaa02</t>
  </si>
  <si>
    <t>el3823sgsaaa021bl000001</t>
  </si>
  <si>
    <t>18KT  Yellow Gold Sparkling Trio of Rhombus Diamond Stud Earring</t>
  </si>
  <si>
    <t xml:space="preserve">EL3823SGSAAA021BL000001                 </t>
  </si>
  <si>
    <t>el3823sgsaaa021bl000004</t>
  </si>
  <si>
    <t xml:space="preserve">EL3823SGSAAA021BL000004                 </t>
  </si>
  <si>
    <t>el3824pjxaaa02</t>
  </si>
  <si>
    <t>el3824pjxaaa022jd000001</t>
  </si>
  <si>
    <t>Flowing Wave Gold &amp; Diamond Pendant</t>
  </si>
  <si>
    <t xml:space="preserve">EL3824PJXAAA022JD000001                 </t>
  </si>
  <si>
    <t>el3824pkcaaa02</t>
  </si>
  <si>
    <t>el3824pkcaaa022jd000003</t>
  </si>
  <si>
    <t>Flowing Twist Gold &amp; Diamond Pendant</t>
  </si>
  <si>
    <t xml:space="preserve">EL3824PKCAAA022JD000003                 </t>
  </si>
  <si>
    <t>el3824pkcaaa022jd000005</t>
  </si>
  <si>
    <t xml:space="preserve">EL3824PKCAAA022JD000005                 </t>
  </si>
  <si>
    <t>el3824pkpaaa02</t>
  </si>
  <si>
    <t>el3824pkpaaa022jd000001</t>
  </si>
  <si>
    <t>Contemporary Square Gold &amp; Diamond Pendant</t>
  </si>
  <si>
    <t xml:space="preserve">EL3824PKPAAA022JD000001                 </t>
  </si>
  <si>
    <t>el4922sdvaaa02</t>
  </si>
  <si>
    <t>el4922sdvaaa022ja000008</t>
  </si>
  <si>
    <t>18 KT Yellow Gold Delicate Radians Diamond Stud Earrings</t>
  </si>
  <si>
    <t xml:space="preserve">EL4922SDVAAA022JA000005                 </t>
  </si>
  <si>
    <t>el4922sdvaaa022ja000005</t>
  </si>
  <si>
    <t xml:space="preserve">EL4922SDVAAA022JA000008                 </t>
  </si>
  <si>
    <t>el5923shbada02</t>
  </si>
  <si>
    <t>el5923shbada022ja000002</t>
  </si>
  <si>
    <t>Radiant Sunburst 18KT Gold &amp; Diamond Stud Earrings</t>
  </si>
  <si>
    <t xml:space="preserve">EL5923SHBADA022JA000002                 </t>
  </si>
  <si>
    <t>el5923shbada022ja000008</t>
  </si>
  <si>
    <t xml:space="preserve">EL5923SHBADA022JA000006                 </t>
  </si>
  <si>
    <t>el5923shbada022ja000007</t>
  </si>
  <si>
    <t xml:space="preserve">EL5923SHBADA022JA000007                 </t>
  </si>
  <si>
    <t>el5923shbada022ja000006</t>
  </si>
  <si>
    <t xml:space="preserve">EL5923SHBADA022JA000008                 </t>
  </si>
  <si>
    <t>epw2a2dhgaba00</t>
  </si>
  <si>
    <t>epw2a2dhgaba002ea000005</t>
  </si>
  <si>
    <t>Tanishq 22 KT Gold Earrings for Women</t>
  </si>
  <si>
    <t>2025-10-08 10:33:22 IST</t>
  </si>
  <si>
    <t xml:space="preserve">EPW2A2DHGABA002EA000005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</si>
</sst>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9"/>
  <sheetViews>
    <sheetView tabSelected="1" topLeftCell="E1" workbookViewId="0">
      <selection activeCell="I7" sqref="I7"/>
    </sheetView>
  </sheetViews>
  <sheetFormatPr defaultRowHeight="15"/>
  <cols>
    <col min="1" max="1" width="16.140625" bestFit="1" customWidth="1"/>
    <col min="2" max="2" width="25.85546875" bestFit="1" customWidth="1"/>
    <col min="3" max="3" width="34.7109375" customWidth="1"/>
    <col min="4" max="4" width="14.5703125" bestFit="1" customWidth="1"/>
    <col min="5" max="5" width="22.140625" bestFit="1" customWidth="1"/>
    <col min="6" max="6" width="8.85546875" bestFit="1" customWidth="1"/>
    <col min="7" max="7" width="25.5703125" bestFit="1" customWidth="1"/>
    <col min="8" max="8" width="25.5703125" customWidth="1"/>
    <col min="9" max="9" width="25.5703125" bestFit="1" customWidth="1"/>
    <col min="11" max="11" width="25.5703125" bestFit="1" customWidth="1"/>
    <col min="29" max="29" width="34.5703125" bestFit="1" customWidth="1"/>
    <col min="30" max="30" width="34.570312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AC1" t="s">
        <v>10</v>
      </c>
      <c r="AD1" t="s">
        <v>11</v>
      </c>
      <c r="AE1" t="s">
        <v>8</v>
      </c>
      <c r="AF1" t="s">
        <v>9</v>
      </c>
    </row>
    <row r="2" spans="1:32">
      <c r="A2" t="s">
        <v>12</v>
      </c>
      <c r="B2" t="s">
        <v>13</v>
      </c>
      <c r="C2" t="s">
        <v>14</v>
      </c>
      <c r="D2" t="b">
        <v>1</v>
      </c>
      <c r="E2" t="s">
        <v>15</v>
      </c>
      <c r="F2" t="b">
        <v>1</v>
      </c>
      <c r="G2" t="str">
        <f>UPPER(B2)</f>
        <v>EL2811PRYAAA023IA000011</v>
      </c>
      <c r="H2" t="str">
        <f>VLOOKUP($G2,$AD$2:$AF$89,1,FALSE)</f>
        <v>EL2811PRYAAA023IA000011</v>
      </c>
      <c r="I2" t="str">
        <f>VLOOKUP($G2,$AD$2:$AF$89,2,FALSE)</f>
        <v>XDS</v>
      </c>
      <c r="J2">
        <f>VLOOKUP($G2,$AD$2:$AF$89,3,FALSE)</f>
        <v>1</v>
      </c>
      <c r="AC2" t="s">
        <v>16</v>
      </c>
      <c r="AD2" t="str">
        <f>TRIM($AC2)</f>
        <v>EL2811PRYAAA023IA000007</v>
      </c>
      <c r="AE2" t="s">
        <v>17</v>
      </c>
      <c r="AF2">
        <v>1</v>
      </c>
    </row>
    <row r="3" spans="1:32">
      <c r="A3" t="s">
        <v>12</v>
      </c>
      <c r="B3" t="s">
        <v>18</v>
      </c>
      <c r="C3" t="s">
        <v>14</v>
      </c>
      <c r="D3" t="b">
        <v>1</v>
      </c>
      <c r="E3" t="s">
        <v>15</v>
      </c>
      <c r="F3" t="b">
        <v>1</v>
      </c>
      <c r="G3" t="str">
        <f t="shared" ref="G3:G66" si="0">UPPER(B3)</f>
        <v>EL2811PRYAAA023IA000007</v>
      </c>
      <c r="H3" t="str">
        <f t="shared" ref="H3:H66" si="1">VLOOKUP($G3,$AD$2:$AF$89,1,FALSE)</f>
        <v>EL2811PRYAAA023IA000007</v>
      </c>
      <c r="I3" t="str">
        <f t="shared" ref="I3:I66" si="2">VLOOKUP($G3,$AD$2:$AF$89,2,FALSE)</f>
        <v>XDS</v>
      </c>
      <c r="J3">
        <f t="shared" ref="J3:J66" si="3">VLOOKUP($G3,$AD$2:$AF$89,3,FALSE)</f>
        <v>1</v>
      </c>
      <c r="AC3" t="s">
        <v>19</v>
      </c>
      <c r="AD3" t="str">
        <f t="shared" ref="AD3:AD66" si="4">TRIM($AC3)</f>
        <v>EL2811PRYAAA023IA000011</v>
      </c>
      <c r="AE3" t="s">
        <v>17</v>
      </c>
      <c r="AF3">
        <v>1</v>
      </c>
    </row>
    <row r="4" spans="1:32">
      <c r="A4" t="s">
        <v>20</v>
      </c>
      <c r="B4" t="s">
        <v>21</v>
      </c>
      <c r="C4" t="s">
        <v>22</v>
      </c>
      <c r="D4" t="b">
        <v>1</v>
      </c>
      <c r="E4" t="s">
        <v>15</v>
      </c>
      <c r="F4" t="b">
        <v>1</v>
      </c>
      <c r="G4" t="str">
        <f t="shared" si="0"/>
        <v>EL2811SJAABA023IA000006</v>
      </c>
      <c r="H4" t="str">
        <f t="shared" si="1"/>
        <v>EL2811SJAABA023IA000006</v>
      </c>
      <c r="I4" t="str">
        <f t="shared" si="2"/>
        <v>XSL</v>
      </c>
      <c r="J4">
        <f t="shared" si="3"/>
        <v>1</v>
      </c>
      <c r="AC4" t="s">
        <v>23</v>
      </c>
      <c r="AD4" t="str">
        <f t="shared" si="4"/>
        <v>EL2811SJAABA023IA000003</v>
      </c>
      <c r="AE4" t="s">
        <v>24</v>
      </c>
      <c r="AF4">
        <v>1</v>
      </c>
    </row>
    <row r="5" spans="1:32">
      <c r="A5" t="s">
        <v>20</v>
      </c>
      <c r="B5" t="s">
        <v>25</v>
      </c>
      <c r="C5" t="s">
        <v>22</v>
      </c>
      <c r="D5" t="b">
        <v>1</v>
      </c>
      <c r="E5" t="s">
        <v>15</v>
      </c>
      <c r="F5" t="b">
        <v>1</v>
      </c>
      <c r="G5" t="str">
        <f t="shared" si="0"/>
        <v>EL2811SJAABA023IA000003</v>
      </c>
      <c r="H5" t="str">
        <f t="shared" si="1"/>
        <v>EL2811SJAABA023IA000003</v>
      </c>
      <c r="I5" t="str">
        <f t="shared" si="2"/>
        <v>XDJ</v>
      </c>
      <c r="J5">
        <f t="shared" si="3"/>
        <v>1</v>
      </c>
      <c r="AC5" t="s">
        <v>26</v>
      </c>
      <c r="AD5" t="str">
        <f t="shared" si="4"/>
        <v>EL2811SJAABA023IA000006</v>
      </c>
      <c r="AE5" t="s">
        <v>27</v>
      </c>
      <c r="AF5">
        <v>1</v>
      </c>
    </row>
    <row r="6" spans="1:32">
      <c r="A6" t="s">
        <v>20</v>
      </c>
      <c r="B6" t="s">
        <v>28</v>
      </c>
      <c r="C6" t="s">
        <v>22</v>
      </c>
      <c r="D6" t="b">
        <v>1</v>
      </c>
      <c r="E6" t="s">
        <v>15</v>
      </c>
      <c r="F6" t="b">
        <v>1</v>
      </c>
      <c r="G6" t="str">
        <f t="shared" si="0"/>
        <v>EL2811SJAABA023IA000007</v>
      </c>
      <c r="H6" t="str">
        <f t="shared" si="1"/>
        <v>EL2811SJAABA023IA000007</v>
      </c>
      <c r="I6" t="str">
        <f t="shared" si="2"/>
        <v>XDS</v>
      </c>
      <c r="J6">
        <f t="shared" si="3"/>
        <v>1</v>
      </c>
      <c r="AC6" t="s">
        <v>29</v>
      </c>
      <c r="AD6" t="str">
        <f t="shared" si="4"/>
        <v>EL2811SJAABA023IA000007</v>
      </c>
      <c r="AE6" t="s">
        <v>17</v>
      </c>
      <c r="AF6">
        <v>1</v>
      </c>
    </row>
    <row r="7" spans="1:32">
      <c r="A7" t="s">
        <v>30</v>
      </c>
      <c r="B7" t="s">
        <v>31</v>
      </c>
      <c r="C7" t="s">
        <v>32</v>
      </c>
      <c r="D7" t="b">
        <v>1</v>
      </c>
      <c r="E7" t="s">
        <v>15</v>
      </c>
      <c r="F7" t="b">
        <v>1</v>
      </c>
      <c r="G7" t="str">
        <f t="shared" si="0"/>
        <v>EL2812PUVAAA322JA000009</v>
      </c>
      <c r="H7" t="str">
        <f t="shared" si="1"/>
        <v>EL2812PUVAAA322JA000009</v>
      </c>
      <c r="I7" t="str">
        <f t="shared" si="2"/>
        <v>XDJ</v>
      </c>
      <c r="J7">
        <f t="shared" si="3"/>
        <v>1</v>
      </c>
      <c r="AC7" t="s">
        <v>33</v>
      </c>
      <c r="AD7" t="str">
        <f t="shared" si="4"/>
        <v>EL2812PUVAAA322JA000009</v>
      </c>
      <c r="AE7" t="s">
        <v>24</v>
      </c>
      <c r="AF7">
        <v>1</v>
      </c>
    </row>
    <row r="8" spans="1:32">
      <c r="A8" t="s">
        <v>34</v>
      </c>
      <c r="B8" t="s">
        <v>35</v>
      </c>
      <c r="C8" t="s">
        <v>36</v>
      </c>
      <c r="D8" t="b">
        <v>1</v>
      </c>
      <c r="E8" t="s">
        <v>15</v>
      </c>
      <c r="F8" t="b">
        <v>1</v>
      </c>
      <c r="G8" t="str">
        <f t="shared" si="0"/>
        <v>EL2812SQNAAA022JA000005</v>
      </c>
      <c r="H8" t="str">
        <f t="shared" si="1"/>
        <v>EL2812SQNAAA022JA000005</v>
      </c>
      <c r="I8" t="str">
        <f t="shared" si="2"/>
        <v>XDJ</v>
      </c>
      <c r="J8">
        <f t="shared" si="3"/>
        <v>1</v>
      </c>
      <c r="AC8" t="s">
        <v>37</v>
      </c>
      <c r="AD8" t="str">
        <f t="shared" si="4"/>
        <v>EL2812SQNAAA022JA000004</v>
      </c>
      <c r="AE8" t="s">
        <v>38</v>
      </c>
      <c r="AF8">
        <v>1</v>
      </c>
    </row>
    <row r="9" spans="1:32">
      <c r="A9" t="s">
        <v>34</v>
      </c>
      <c r="B9" t="s">
        <v>39</v>
      </c>
      <c r="C9" t="s">
        <v>36</v>
      </c>
      <c r="D9" t="b">
        <v>1</v>
      </c>
      <c r="E9" t="s">
        <v>15</v>
      </c>
      <c r="F9" t="b">
        <v>1</v>
      </c>
      <c r="G9" t="str">
        <f t="shared" si="0"/>
        <v>EL2812SQNAAA022JA000004</v>
      </c>
      <c r="H9" t="str">
        <f t="shared" si="1"/>
        <v>EL2812SQNAAA022JA000004</v>
      </c>
      <c r="I9" t="str">
        <f t="shared" si="2"/>
        <v>XDG</v>
      </c>
      <c r="J9">
        <f t="shared" si="3"/>
        <v>1</v>
      </c>
      <c r="AC9" t="s">
        <v>40</v>
      </c>
      <c r="AD9" t="str">
        <f t="shared" si="4"/>
        <v>EL2812SQNAAA022JA000005</v>
      </c>
      <c r="AE9" t="s">
        <v>24</v>
      </c>
      <c r="AF9">
        <v>1</v>
      </c>
    </row>
    <row r="10" spans="1:32">
      <c r="A10" t="s">
        <v>41</v>
      </c>
      <c r="B10" t="s">
        <v>42</v>
      </c>
      <c r="C10" t="s">
        <v>43</v>
      </c>
      <c r="D10" t="b">
        <v>1</v>
      </c>
      <c r="E10" t="s">
        <v>15</v>
      </c>
      <c r="F10" t="b">
        <v>1</v>
      </c>
      <c r="G10" t="str">
        <f t="shared" si="0"/>
        <v>EL2818PEXAAA022JA000002</v>
      </c>
      <c r="H10" t="str">
        <f t="shared" si="1"/>
        <v>EL2818PEXAAA022JA000002</v>
      </c>
      <c r="I10" t="str">
        <f t="shared" si="2"/>
        <v>XDJ</v>
      </c>
      <c r="J10">
        <f t="shared" si="3"/>
        <v>1</v>
      </c>
      <c r="AC10" t="s">
        <v>44</v>
      </c>
      <c r="AD10" t="str">
        <f t="shared" si="4"/>
        <v>EL2818PEXAAA022JA000002</v>
      </c>
      <c r="AE10" t="s">
        <v>24</v>
      </c>
      <c r="AF10">
        <v>1</v>
      </c>
    </row>
    <row r="11" spans="1:32">
      <c r="A11" t="s">
        <v>41</v>
      </c>
      <c r="B11" t="s">
        <v>45</v>
      </c>
      <c r="C11" t="s">
        <v>43</v>
      </c>
      <c r="D11" t="b">
        <v>1</v>
      </c>
      <c r="E11" t="s">
        <v>15</v>
      </c>
      <c r="F11" t="b">
        <v>1</v>
      </c>
      <c r="G11" t="str">
        <f t="shared" si="0"/>
        <v>EL2818PEXAAA023IA000004</v>
      </c>
      <c r="H11" t="str">
        <f t="shared" si="1"/>
        <v>EL2818PEXAAA023IA000004</v>
      </c>
      <c r="I11" t="str">
        <f t="shared" si="2"/>
        <v>XDJ</v>
      </c>
      <c r="J11">
        <f t="shared" si="3"/>
        <v>1</v>
      </c>
      <c r="AC11" t="s">
        <v>46</v>
      </c>
      <c r="AD11" t="str">
        <f t="shared" si="4"/>
        <v>EL2818PEXAAA022JA000006</v>
      </c>
      <c r="AE11" t="s">
        <v>38</v>
      </c>
      <c r="AF11">
        <v>1</v>
      </c>
    </row>
    <row r="12" spans="1:32">
      <c r="A12" t="s">
        <v>41</v>
      </c>
      <c r="B12" t="s">
        <v>47</v>
      </c>
      <c r="C12" t="s">
        <v>43</v>
      </c>
      <c r="D12" t="b">
        <v>1</v>
      </c>
      <c r="E12" t="s">
        <v>15</v>
      </c>
      <c r="F12" t="b">
        <v>1</v>
      </c>
      <c r="G12" t="str">
        <f t="shared" si="0"/>
        <v>EL2818PEXAAA023IA000005</v>
      </c>
      <c r="H12" t="str">
        <f t="shared" si="1"/>
        <v>EL2818PEXAAA023IA000005</v>
      </c>
      <c r="I12" t="str">
        <f t="shared" si="2"/>
        <v>XDJ</v>
      </c>
      <c r="J12">
        <f t="shared" si="3"/>
        <v>1</v>
      </c>
      <c r="AC12" t="s">
        <v>48</v>
      </c>
      <c r="AD12" t="str">
        <f t="shared" si="4"/>
        <v>EL2818PEXAAA023IA000004</v>
      </c>
      <c r="AE12" t="s">
        <v>24</v>
      </c>
      <c r="AF12">
        <v>1</v>
      </c>
    </row>
    <row r="13" spans="1:32">
      <c r="A13" t="s">
        <v>41</v>
      </c>
      <c r="B13" t="s">
        <v>49</v>
      </c>
      <c r="C13" t="s">
        <v>43</v>
      </c>
      <c r="D13" t="b">
        <v>1</v>
      </c>
      <c r="E13" t="s">
        <v>15</v>
      </c>
      <c r="F13" t="b">
        <v>1</v>
      </c>
      <c r="G13" t="str">
        <f t="shared" si="0"/>
        <v>EL2818PEXAAA022JA000006</v>
      </c>
      <c r="H13" t="str">
        <f t="shared" si="1"/>
        <v>EL2818PEXAAA022JA000006</v>
      </c>
      <c r="I13" t="str">
        <f t="shared" si="2"/>
        <v>XDG</v>
      </c>
      <c r="J13">
        <f t="shared" si="3"/>
        <v>1</v>
      </c>
      <c r="AC13" t="s">
        <v>50</v>
      </c>
      <c r="AD13" t="str">
        <f t="shared" si="4"/>
        <v>EL2818PEXAAA023IA000005</v>
      </c>
      <c r="AE13" t="s">
        <v>24</v>
      </c>
      <c r="AF13">
        <v>1</v>
      </c>
    </row>
    <row r="14" spans="1:32">
      <c r="A14" t="s">
        <v>51</v>
      </c>
      <c r="B14" t="s">
        <v>52</v>
      </c>
      <c r="C14" t="s">
        <v>53</v>
      </c>
      <c r="D14" t="b">
        <v>1</v>
      </c>
      <c r="E14" t="s">
        <v>15</v>
      </c>
      <c r="F14" t="b">
        <v>1</v>
      </c>
      <c r="G14" t="str">
        <f t="shared" si="0"/>
        <v>EL2818SEXAAA022JA000002</v>
      </c>
      <c r="H14" t="str">
        <f t="shared" si="1"/>
        <v>EL2818SEXAAA022JA000002</v>
      </c>
      <c r="I14" t="str">
        <f t="shared" si="2"/>
        <v>XDJ</v>
      </c>
      <c r="J14">
        <f t="shared" si="3"/>
        <v>1</v>
      </c>
      <c r="AC14" t="s">
        <v>54</v>
      </c>
      <c r="AD14" t="str">
        <f t="shared" si="4"/>
        <v>EL2818SEXAAA022JA000002</v>
      </c>
      <c r="AE14" t="s">
        <v>24</v>
      </c>
      <c r="AF14">
        <v>1</v>
      </c>
    </row>
    <row r="15" spans="1:32">
      <c r="A15" t="s">
        <v>51</v>
      </c>
      <c r="B15" t="s">
        <v>55</v>
      </c>
      <c r="C15" t="s">
        <v>53</v>
      </c>
      <c r="D15" t="b">
        <v>1</v>
      </c>
      <c r="E15" t="s">
        <v>15</v>
      </c>
      <c r="F15" t="b">
        <v>1</v>
      </c>
      <c r="G15" t="str">
        <f t="shared" si="0"/>
        <v>EL2818SEXAAA023IA000007</v>
      </c>
      <c r="H15" t="str">
        <f t="shared" si="1"/>
        <v>EL2818SEXAAA023IA000007</v>
      </c>
      <c r="I15" t="str">
        <f t="shared" si="2"/>
        <v>XDJ</v>
      </c>
      <c r="J15">
        <f t="shared" si="3"/>
        <v>1</v>
      </c>
      <c r="AC15" t="s">
        <v>56</v>
      </c>
      <c r="AD15" t="str">
        <f t="shared" si="4"/>
        <v>EL2818SEXAAA023IA000006</v>
      </c>
      <c r="AE15" t="s">
        <v>38</v>
      </c>
      <c r="AF15">
        <v>1</v>
      </c>
    </row>
    <row r="16" spans="1:32">
      <c r="A16" t="s">
        <v>51</v>
      </c>
      <c r="B16" t="s">
        <v>57</v>
      </c>
      <c r="C16" t="s">
        <v>53</v>
      </c>
      <c r="D16" t="b">
        <v>1</v>
      </c>
      <c r="E16" t="s">
        <v>15</v>
      </c>
      <c r="F16" t="b">
        <v>1</v>
      </c>
      <c r="G16" t="str">
        <f t="shared" si="0"/>
        <v>EL2818SEXAAA023IA000006</v>
      </c>
      <c r="H16" t="str">
        <f t="shared" si="1"/>
        <v>EL2818SEXAAA023IA000006</v>
      </c>
      <c r="I16" t="str">
        <f t="shared" si="2"/>
        <v>XDG</v>
      </c>
      <c r="J16">
        <f t="shared" si="3"/>
        <v>1</v>
      </c>
      <c r="AC16" t="s">
        <v>58</v>
      </c>
      <c r="AD16" t="str">
        <f t="shared" si="4"/>
        <v>EL2818SEXAAA023IA000007</v>
      </c>
      <c r="AE16" t="s">
        <v>24</v>
      </c>
      <c r="AF16">
        <v>1</v>
      </c>
    </row>
    <row r="17" spans="1:32">
      <c r="A17" t="s">
        <v>59</v>
      </c>
      <c r="B17" t="s">
        <v>60</v>
      </c>
      <c r="C17" t="s">
        <v>61</v>
      </c>
      <c r="D17" t="b">
        <v>1</v>
      </c>
      <c r="E17" t="s">
        <v>15</v>
      </c>
      <c r="F17" t="b">
        <v>1</v>
      </c>
      <c r="G17" t="str">
        <f t="shared" si="0"/>
        <v>EL2818SHLAAA022JD000007</v>
      </c>
      <c r="H17" t="str">
        <f t="shared" si="1"/>
        <v>EL2818SHLAAA022JD000007</v>
      </c>
      <c r="I17" t="str">
        <f t="shared" si="2"/>
        <v>XDS</v>
      </c>
      <c r="J17">
        <f t="shared" si="3"/>
        <v>1</v>
      </c>
      <c r="AC17" t="s">
        <v>62</v>
      </c>
      <c r="AD17" t="str">
        <f t="shared" si="4"/>
        <v>EL2818SHLAAA022JD000007</v>
      </c>
      <c r="AE17" t="s">
        <v>17</v>
      </c>
      <c r="AF17">
        <v>1</v>
      </c>
    </row>
    <row r="18" spans="1:32">
      <c r="A18" t="s">
        <v>59</v>
      </c>
      <c r="B18" t="s">
        <v>63</v>
      </c>
      <c r="C18" t="s">
        <v>61</v>
      </c>
      <c r="D18" t="b">
        <v>1</v>
      </c>
      <c r="E18" t="s">
        <v>15</v>
      </c>
      <c r="F18" t="b">
        <v>1</v>
      </c>
      <c r="G18" t="str">
        <f t="shared" si="0"/>
        <v>EL2818SHLAAA022JD000008</v>
      </c>
      <c r="H18" t="str">
        <f t="shared" si="1"/>
        <v>EL2818SHLAAA022JD000008</v>
      </c>
      <c r="I18" t="str">
        <f t="shared" si="2"/>
        <v>XDG</v>
      </c>
      <c r="J18">
        <f t="shared" si="3"/>
        <v>1</v>
      </c>
      <c r="AC18" t="s">
        <v>64</v>
      </c>
      <c r="AD18" t="str">
        <f t="shared" si="4"/>
        <v>EL2818SHLAAA022JD000008</v>
      </c>
      <c r="AE18" t="s">
        <v>38</v>
      </c>
      <c r="AF18">
        <v>1</v>
      </c>
    </row>
    <row r="19" spans="1:32">
      <c r="A19" t="s">
        <v>65</v>
      </c>
      <c r="B19" t="s">
        <v>66</v>
      </c>
      <c r="C19" t="s">
        <v>67</v>
      </c>
      <c r="D19" t="b">
        <v>1</v>
      </c>
      <c r="E19" t="s">
        <v>15</v>
      </c>
      <c r="F19" t="b">
        <v>1</v>
      </c>
      <c r="G19" t="str">
        <f t="shared" si="0"/>
        <v>EL2819PELAAA022JD000002</v>
      </c>
      <c r="H19" t="str">
        <f t="shared" si="1"/>
        <v>EL2819PELAAA022JD000002</v>
      </c>
      <c r="I19" t="str">
        <f t="shared" si="2"/>
        <v>XDJ</v>
      </c>
      <c r="J19">
        <f t="shared" si="3"/>
        <v>1</v>
      </c>
      <c r="AC19" t="s">
        <v>68</v>
      </c>
      <c r="AD19" t="str">
        <f t="shared" si="4"/>
        <v>EL2819PELAAA022JD000002</v>
      </c>
      <c r="AE19" t="s">
        <v>24</v>
      </c>
      <c r="AF19">
        <v>1</v>
      </c>
    </row>
    <row r="20" spans="1:32">
      <c r="A20" t="s">
        <v>65</v>
      </c>
      <c r="B20" t="s">
        <v>69</v>
      </c>
      <c r="C20" t="s">
        <v>67</v>
      </c>
      <c r="D20" t="b">
        <v>1</v>
      </c>
      <c r="E20" t="s">
        <v>15</v>
      </c>
      <c r="F20" t="b">
        <v>1</v>
      </c>
      <c r="G20" t="str">
        <f t="shared" si="0"/>
        <v>EL2819PELAAA022JD000008</v>
      </c>
      <c r="H20" t="str">
        <f t="shared" si="1"/>
        <v>EL2819PELAAA022JD000008</v>
      </c>
      <c r="I20" t="str">
        <f t="shared" si="2"/>
        <v>XDS</v>
      </c>
      <c r="J20">
        <f t="shared" si="3"/>
        <v>1</v>
      </c>
      <c r="AC20" t="s">
        <v>70</v>
      </c>
      <c r="AD20" t="str">
        <f t="shared" si="4"/>
        <v>EL2819PELAAA022JD000007</v>
      </c>
      <c r="AE20" t="s">
        <v>38</v>
      </c>
      <c r="AF20">
        <v>1</v>
      </c>
    </row>
    <row r="21" spans="1:32">
      <c r="A21" t="s">
        <v>65</v>
      </c>
      <c r="B21" t="s">
        <v>71</v>
      </c>
      <c r="C21" t="s">
        <v>67</v>
      </c>
      <c r="D21" t="b">
        <v>1</v>
      </c>
      <c r="E21" t="s">
        <v>15</v>
      </c>
      <c r="F21" t="b">
        <v>1</v>
      </c>
      <c r="G21" t="str">
        <f t="shared" si="0"/>
        <v>EL2819PELAAA022JD000007</v>
      </c>
      <c r="H21" t="str">
        <f t="shared" si="1"/>
        <v>EL2819PELAAA022JD000007</v>
      </c>
      <c r="I21" t="str">
        <f t="shared" si="2"/>
        <v>XDG</v>
      </c>
      <c r="J21">
        <f t="shared" si="3"/>
        <v>1</v>
      </c>
      <c r="AC21" t="s">
        <v>72</v>
      </c>
      <c r="AD21" t="str">
        <f t="shared" si="4"/>
        <v>EL2819PELAAA022JD000008</v>
      </c>
      <c r="AE21" t="s">
        <v>17</v>
      </c>
      <c r="AF21">
        <v>1</v>
      </c>
    </row>
    <row r="22" spans="1:32">
      <c r="A22" t="s">
        <v>73</v>
      </c>
      <c r="B22" t="s">
        <v>74</v>
      </c>
      <c r="C22" t="s">
        <v>75</v>
      </c>
      <c r="D22" t="b">
        <v>1</v>
      </c>
      <c r="E22" t="s">
        <v>15</v>
      </c>
      <c r="F22" t="b">
        <v>1</v>
      </c>
      <c r="G22" t="str">
        <f t="shared" si="0"/>
        <v>EL2819PIGAAA021BL000001</v>
      </c>
      <c r="H22" t="str">
        <f t="shared" si="1"/>
        <v>EL2819PIGAAA021BL000001</v>
      </c>
      <c r="I22" t="str">
        <f t="shared" si="2"/>
        <v>XDJ</v>
      </c>
      <c r="J22">
        <f t="shared" si="3"/>
        <v>1</v>
      </c>
      <c r="AC22" t="s">
        <v>76</v>
      </c>
      <c r="AD22" t="str">
        <f t="shared" si="4"/>
        <v>EL2819PIGAAA021BL000001</v>
      </c>
      <c r="AE22" t="s">
        <v>24</v>
      </c>
      <c r="AF22">
        <v>1</v>
      </c>
    </row>
    <row r="23" spans="1:32">
      <c r="A23" t="s">
        <v>73</v>
      </c>
      <c r="B23" t="s">
        <v>77</v>
      </c>
      <c r="C23" t="s">
        <v>75</v>
      </c>
      <c r="D23" t="b">
        <v>1</v>
      </c>
      <c r="E23" t="s">
        <v>15</v>
      </c>
      <c r="F23" t="b">
        <v>1</v>
      </c>
      <c r="G23" t="str">
        <f t="shared" si="0"/>
        <v>EL2819PIGAAA021BL000005</v>
      </c>
      <c r="H23" t="str">
        <f t="shared" si="1"/>
        <v>EL2819PIGAAA021BL000005</v>
      </c>
      <c r="I23" t="str">
        <f t="shared" si="2"/>
        <v>XSL</v>
      </c>
      <c r="J23">
        <f t="shared" si="3"/>
        <v>1</v>
      </c>
      <c r="AC23" t="s">
        <v>78</v>
      </c>
      <c r="AD23" t="str">
        <f t="shared" si="4"/>
        <v>EL2819PIGAAA021BL000004</v>
      </c>
      <c r="AE23" t="s">
        <v>24</v>
      </c>
      <c r="AF23">
        <v>1</v>
      </c>
    </row>
    <row r="24" spans="1:32">
      <c r="A24" t="s">
        <v>73</v>
      </c>
      <c r="B24" t="s">
        <v>79</v>
      </c>
      <c r="C24" t="s">
        <v>75</v>
      </c>
      <c r="D24" t="b">
        <v>1</v>
      </c>
      <c r="E24" t="s">
        <v>15</v>
      </c>
      <c r="F24" t="b">
        <v>1</v>
      </c>
      <c r="G24" t="str">
        <f t="shared" si="0"/>
        <v>EL2819PIGAAA021BL000004</v>
      </c>
      <c r="H24" t="str">
        <f t="shared" si="1"/>
        <v>EL2819PIGAAA021BL000004</v>
      </c>
      <c r="I24" t="str">
        <f t="shared" si="2"/>
        <v>XDJ</v>
      </c>
      <c r="J24">
        <f t="shared" si="3"/>
        <v>1</v>
      </c>
      <c r="AC24" t="s">
        <v>80</v>
      </c>
      <c r="AD24" t="str">
        <f t="shared" si="4"/>
        <v>EL2819PIGAAA021BL000005</v>
      </c>
      <c r="AE24" t="s">
        <v>27</v>
      </c>
      <c r="AF24">
        <v>1</v>
      </c>
    </row>
    <row r="25" spans="1:32">
      <c r="A25" t="s">
        <v>81</v>
      </c>
      <c r="B25" t="s">
        <v>82</v>
      </c>
      <c r="C25" t="s">
        <v>83</v>
      </c>
      <c r="D25" t="b">
        <v>1</v>
      </c>
      <c r="E25" t="s">
        <v>15</v>
      </c>
      <c r="F25" t="b">
        <v>1</v>
      </c>
      <c r="G25" t="str">
        <f t="shared" si="0"/>
        <v>EL2819PTWAAA023IA000007</v>
      </c>
      <c r="H25" t="str">
        <f t="shared" si="1"/>
        <v>EL2819PTWAAA023IA000007</v>
      </c>
      <c r="I25" t="str">
        <f t="shared" si="2"/>
        <v>XDJ</v>
      </c>
      <c r="J25">
        <f t="shared" si="3"/>
        <v>1</v>
      </c>
      <c r="AC25" t="s">
        <v>84</v>
      </c>
      <c r="AD25" t="str">
        <f t="shared" si="4"/>
        <v>EL2819PTWAAA023IA000007</v>
      </c>
      <c r="AE25" t="s">
        <v>24</v>
      </c>
      <c r="AF25">
        <v>1</v>
      </c>
    </row>
    <row r="26" spans="1:32">
      <c r="A26" t="s">
        <v>81</v>
      </c>
      <c r="B26" t="s">
        <v>85</v>
      </c>
      <c r="C26" t="s">
        <v>83</v>
      </c>
      <c r="D26" t="b">
        <v>1</v>
      </c>
      <c r="E26" t="s">
        <v>15</v>
      </c>
      <c r="F26" t="b">
        <v>1</v>
      </c>
      <c r="G26" t="str">
        <f t="shared" si="0"/>
        <v>EL2819PTWAAA023IA000008</v>
      </c>
      <c r="H26" t="str">
        <f t="shared" si="1"/>
        <v>EL2819PTWAAA023IA000008</v>
      </c>
      <c r="I26" t="str">
        <f t="shared" si="2"/>
        <v>XDS</v>
      </c>
      <c r="J26">
        <f t="shared" si="3"/>
        <v>1</v>
      </c>
      <c r="AC26" t="s">
        <v>86</v>
      </c>
      <c r="AD26" t="str">
        <f t="shared" si="4"/>
        <v>EL2819PTWAAA023IA000008</v>
      </c>
      <c r="AE26" t="s">
        <v>17</v>
      </c>
      <c r="AF26">
        <v>1</v>
      </c>
    </row>
    <row r="27" spans="1:32">
      <c r="A27" t="s">
        <v>87</v>
      </c>
      <c r="B27" t="s">
        <v>88</v>
      </c>
      <c r="C27" t="s">
        <v>89</v>
      </c>
      <c r="D27" t="b">
        <v>1</v>
      </c>
      <c r="E27" t="s">
        <v>15</v>
      </c>
      <c r="F27" t="b">
        <v>1</v>
      </c>
      <c r="G27" t="str">
        <f t="shared" si="0"/>
        <v>EL2819SGKAAA021BL000003</v>
      </c>
      <c r="H27" t="str">
        <f t="shared" si="1"/>
        <v>EL2819SGKAAA021BL000003</v>
      </c>
      <c r="I27" t="str">
        <f t="shared" si="2"/>
        <v>XDJ</v>
      </c>
      <c r="J27">
        <f t="shared" si="3"/>
        <v>1</v>
      </c>
      <c r="AC27" t="s">
        <v>90</v>
      </c>
      <c r="AD27" t="str">
        <f t="shared" si="4"/>
        <v>EL2819SGKAAA021BL000003</v>
      </c>
      <c r="AE27" t="s">
        <v>24</v>
      </c>
      <c r="AF27">
        <v>1</v>
      </c>
    </row>
    <row r="28" spans="1:32">
      <c r="A28" t="s">
        <v>91</v>
      </c>
      <c r="B28" t="s">
        <v>92</v>
      </c>
      <c r="C28" t="s">
        <v>93</v>
      </c>
      <c r="D28" t="b">
        <v>1</v>
      </c>
      <c r="E28" t="s">
        <v>15</v>
      </c>
      <c r="F28" t="b">
        <v>1</v>
      </c>
      <c r="G28" t="str">
        <f t="shared" si="0"/>
        <v>EL2819SGMAAA021BL000005</v>
      </c>
      <c r="H28" t="str">
        <f t="shared" si="1"/>
        <v>EL2819SGMAAA021BL000005</v>
      </c>
      <c r="I28" t="str">
        <f t="shared" si="2"/>
        <v>XDJ</v>
      </c>
      <c r="J28">
        <f t="shared" si="3"/>
        <v>1</v>
      </c>
      <c r="AC28" t="s">
        <v>94</v>
      </c>
      <c r="AD28" t="str">
        <f t="shared" si="4"/>
        <v>EL2819SGMAAA021BL000005</v>
      </c>
      <c r="AE28" t="s">
        <v>24</v>
      </c>
      <c r="AF28">
        <v>1</v>
      </c>
    </row>
    <row r="29" spans="1:32">
      <c r="A29" t="s">
        <v>95</v>
      </c>
      <c r="B29" t="s">
        <v>96</v>
      </c>
      <c r="C29" t="s">
        <v>97</v>
      </c>
      <c r="D29" t="b">
        <v>1</v>
      </c>
      <c r="E29" t="s">
        <v>15</v>
      </c>
      <c r="F29" t="b">
        <v>1</v>
      </c>
      <c r="G29" t="str">
        <f t="shared" si="0"/>
        <v>EL2822PYKAAA022HD000003</v>
      </c>
      <c r="H29" t="str">
        <f t="shared" si="1"/>
        <v>EL2822PYKAAA022HD000003</v>
      </c>
      <c r="I29" t="str">
        <f t="shared" si="2"/>
        <v>XDJ</v>
      </c>
      <c r="J29">
        <f t="shared" si="3"/>
        <v>1</v>
      </c>
      <c r="AC29" t="s">
        <v>98</v>
      </c>
      <c r="AD29" t="str">
        <f t="shared" si="4"/>
        <v>EL2822PYKAAA022HD000003</v>
      </c>
      <c r="AE29" t="s">
        <v>24</v>
      </c>
      <c r="AF29">
        <v>1</v>
      </c>
    </row>
    <row r="30" spans="1:32">
      <c r="A30" t="s">
        <v>95</v>
      </c>
      <c r="B30" t="s">
        <v>99</v>
      </c>
      <c r="C30" t="s">
        <v>97</v>
      </c>
      <c r="D30" t="b">
        <v>1</v>
      </c>
      <c r="E30" t="s">
        <v>15</v>
      </c>
      <c r="F30" t="b">
        <v>1</v>
      </c>
      <c r="G30" t="str">
        <f t="shared" si="0"/>
        <v>EL2822PYKAAA022HD000005</v>
      </c>
      <c r="H30" t="str">
        <f t="shared" si="1"/>
        <v>EL2822PYKAAA022HD000005</v>
      </c>
      <c r="I30" t="str">
        <f t="shared" si="2"/>
        <v>XDS</v>
      </c>
      <c r="J30">
        <f t="shared" si="3"/>
        <v>1</v>
      </c>
      <c r="AC30" t="s">
        <v>100</v>
      </c>
      <c r="AD30" t="str">
        <f t="shared" si="4"/>
        <v>EL2822PYKAAA022HD000005</v>
      </c>
      <c r="AE30" t="s">
        <v>17</v>
      </c>
      <c r="AF30">
        <v>1</v>
      </c>
    </row>
    <row r="31" spans="1:32">
      <c r="A31" t="s">
        <v>95</v>
      </c>
      <c r="B31" t="s">
        <v>101</v>
      </c>
      <c r="C31" t="s">
        <v>97</v>
      </c>
      <c r="D31" t="b">
        <v>1</v>
      </c>
      <c r="E31" t="s">
        <v>15</v>
      </c>
      <c r="F31" t="b">
        <v>1</v>
      </c>
      <c r="G31" t="str">
        <f t="shared" si="0"/>
        <v>EL2822PYKAAA022HD000006</v>
      </c>
      <c r="H31" t="str">
        <f t="shared" si="1"/>
        <v>EL2822PYKAAA022HD000006</v>
      </c>
      <c r="I31" t="str">
        <f t="shared" si="2"/>
        <v>XDT</v>
      </c>
      <c r="J31">
        <f t="shared" si="3"/>
        <v>1</v>
      </c>
      <c r="AC31" t="s">
        <v>102</v>
      </c>
      <c r="AD31" t="str">
        <f t="shared" si="4"/>
        <v>EL2822PYKAAA022HD000006</v>
      </c>
      <c r="AE31" t="s">
        <v>103</v>
      </c>
      <c r="AF31">
        <v>1</v>
      </c>
    </row>
    <row r="32" spans="1:32">
      <c r="A32" t="s">
        <v>104</v>
      </c>
      <c r="B32" t="s">
        <v>105</v>
      </c>
      <c r="C32" t="s">
        <v>106</v>
      </c>
      <c r="D32" t="b">
        <v>1</v>
      </c>
      <c r="E32" t="s">
        <v>15</v>
      </c>
      <c r="F32" t="b">
        <v>1</v>
      </c>
      <c r="G32" t="str">
        <f t="shared" si="0"/>
        <v>EL2822SETAAA022JA000011</v>
      </c>
      <c r="H32" t="str">
        <f t="shared" si="1"/>
        <v>EL2822SETAAA022JA000011</v>
      </c>
      <c r="I32" t="str">
        <f t="shared" si="2"/>
        <v>XDJ</v>
      </c>
      <c r="J32">
        <f t="shared" si="3"/>
        <v>1</v>
      </c>
      <c r="AC32" t="s">
        <v>107</v>
      </c>
      <c r="AD32" t="str">
        <f t="shared" si="4"/>
        <v>EL2822SETAAA022JA000011</v>
      </c>
      <c r="AE32" t="s">
        <v>24</v>
      </c>
      <c r="AF32">
        <v>1</v>
      </c>
    </row>
    <row r="33" spans="1:32">
      <c r="A33" t="s">
        <v>104</v>
      </c>
      <c r="B33" t="s">
        <v>108</v>
      </c>
      <c r="C33" t="s">
        <v>106</v>
      </c>
      <c r="D33" t="b">
        <v>1</v>
      </c>
      <c r="E33" t="s">
        <v>15</v>
      </c>
      <c r="F33" t="b">
        <v>1</v>
      </c>
      <c r="G33" t="str">
        <f t="shared" si="0"/>
        <v>EL2822SETAAA022JA000012</v>
      </c>
      <c r="H33" t="str">
        <f t="shared" si="1"/>
        <v>EL2822SETAAA022JA000012</v>
      </c>
      <c r="I33" t="str">
        <f t="shared" si="2"/>
        <v>XDG</v>
      </c>
      <c r="J33">
        <f t="shared" si="3"/>
        <v>1</v>
      </c>
      <c r="AC33" t="s">
        <v>109</v>
      </c>
      <c r="AD33" t="str">
        <f t="shared" si="4"/>
        <v>EL2822SETAAA022JA000012</v>
      </c>
      <c r="AE33" t="s">
        <v>38</v>
      </c>
      <c r="AF33">
        <v>1</v>
      </c>
    </row>
    <row r="34" spans="1:32">
      <c r="A34" t="s">
        <v>110</v>
      </c>
      <c r="B34" t="s">
        <v>111</v>
      </c>
      <c r="C34" t="s">
        <v>112</v>
      </c>
      <c r="D34" t="b">
        <v>1</v>
      </c>
      <c r="E34" t="s">
        <v>15</v>
      </c>
      <c r="F34" t="b">
        <v>1</v>
      </c>
      <c r="G34" t="str">
        <f t="shared" si="0"/>
        <v>EL2822SKFAAA022JA000014</v>
      </c>
      <c r="H34" t="str">
        <f t="shared" si="1"/>
        <v>EL2822SKFAAA022JA000014</v>
      </c>
      <c r="I34" t="str">
        <f t="shared" si="2"/>
        <v>XDJ</v>
      </c>
      <c r="J34">
        <f t="shared" si="3"/>
        <v>1</v>
      </c>
      <c r="AC34" t="s">
        <v>113</v>
      </c>
      <c r="AD34" t="str">
        <f t="shared" si="4"/>
        <v>EL2822SKFAAA022JA000014</v>
      </c>
      <c r="AE34" t="s">
        <v>24</v>
      </c>
      <c r="AF34">
        <v>1</v>
      </c>
    </row>
    <row r="35" spans="1:32">
      <c r="A35" t="s">
        <v>110</v>
      </c>
      <c r="B35" t="s">
        <v>114</v>
      </c>
      <c r="C35" t="s">
        <v>112</v>
      </c>
      <c r="D35" t="b">
        <v>1</v>
      </c>
      <c r="E35" t="s">
        <v>15</v>
      </c>
      <c r="F35" t="b">
        <v>1</v>
      </c>
      <c r="G35" t="str">
        <f t="shared" si="0"/>
        <v>EL2822SKFAAA022JA000015</v>
      </c>
      <c r="H35" t="str">
        <f t="shared" si="1"/>
        <v>EL2822SKFAAA022JA000015</v>
      </c>
      <c r="I35" t="str">
        <f t="shared" si="2"/>
        <v>XDT</v>
      </c>
      <c r="J35">
        <f t="shared" si="3"/>
        <v>1</v>
      </c>
      <c r="AC35" t="s">
        <v>115</v>
      </c>
      <c r="AD35" t="str">
        <f t="shared" si="4"/>
        <v>EL2822SKFAAA022JA000015</v>
      </c>
      <c r="AE35" t="s">
        <v>103</v>
      </c>
      <c r="AF35">
        <v>1</v>
      </c>
    </row>
    <row r="36" spans="1:32">
      <c r="A36" t="s">
        <v>116</v>
      </c>
      <c r="B36" t="s">
        <v>117</v>
      </c>
      <c r="C36" t="s">
        <v>118</v>
      </c>
      <c r="D36" t="b">
        <v>1</v>
      </c>
      <c r="E36" t="s">
        <v>15</v>
      </c>
      <c r="F36" t="b">
        <v>1</v>
      </c>
      <c r="G36" t="str">
        <f t="shared" si="0"/>
        <v>EL2822STEAAA022JA000009</v>
      </c>
      <c r="H36" t="str">
        <f t="shared" si="1"/>
        <v>EL2822STEAAA022JA000009</v>
      </c>
      <c r="I36" t="str">
        <f t="shared" si="2"/>
        <v>XDJ</v>
      </c>
      <c r="J36">
        <f t="shared" si="3"/>
        <v>1</v>
      </c>
      <c r="AC36" t="s">
        <v>119</v>
      </c>
      <c r="AD36" t="str">
        <f t="shared" si="4"/>
        <v>EL2822STEAAA022JA000009</v>
      </c>
      <c r="AE36" t="s">
        <v>24</v>
      </c>
      <c r="AF36">
        <v>1</v>
      </c>
    </row>
    <row r="37" spans="1:32">
      <c r="A37" t="s">
        <v>120</v>
      </c>
      <c r="B37" t="s">
        <v>121</v>
      </c>
      <c r="C37" t="s">
        <v>122</v>
      </c>
      <c r="D37" t="b">
        <v>1</v>
      </c>
      <c r="E37" t="s">
        <v>15</v>
      </c>
      <c r="F37" t="b">
        <v>1</v>
      </c>
      <c r="G37" t="str">
        <f t="shared" si="0"/>
        <v>EL2823PAKAAA021BL000003</v>
      </c>
      <c r="H37" t="str">
        <f t="shared" si="1"/>
        <v>EL2823PAKAAA021BL000003</v>
      </c>
      <c r="I37" t="str">
        <f t="shared" si="2"/>
        <v>XDJ</v>
      </c>
      <c r="J37">
        <f t="shared" si="3"/>
        <v>1</v>
      </c>
      <c r="AC37" t="s">
        <v>123</v>
      </c>
      <c r="AD37" t="str">
        <f t="shared" si="4"/>
        <v>EL2823PAKAAA021BL000003</v>
      </c>
      <c r="AE37" t="s">
        <v>24</v>
      </c>
      <c r="AF37">
        <v>1</v>
      </c>
    </row>
    <row r="38" spans="1:32">
      <c r="A38" t="s">
        <v>120</v>
      </c>
      <c r="B38" t="s">
        <v>124</v>
      </c>
      <c r="C38" t="s">
        <v>122</v>
      </c>
      <c r="D38" t="b">
        <v>1</v>
      </c>
      <c r="E38" t="s">
        <v>15</v>
      </c>
      <c r="F38" t="b">
        <v>1</v>
      </c>
      <c r="G38" t="str">
        <f t="shared" si="0"/>
        <v>EL2823PAKAAA021BL000004</v>
      </c>
      <c r="H38" t="str">
        <f t="shared" si="1"/>
        <v>EL2823PAKAAA021BL000004</v>
      </c>
      <c r="I38" t="str">
        <f t="shared" si="2"/>
        <v>XDJ</v>
      </c>
      <c r="J38">
        <f t="shared" si="3"/>
        <v>1</v>
      </c>
      <c r="AC38" t="s">
        <v>125</v>
      </c>
      <c r="AD38" t="str">
        <f t="shared" si="4"/>
        <v>EL2823PAKAAA021BL000004</v>
      </c>
      <c r="AE38" t="s">
        <v>24</v>
      </c>
      <c r="AF38">
        <v>1</v>
      </c>
    </row>
    <row r="39" spans="1:32">
      <c r="A39" t="s">
        <v>126</v>
      </c>
      <c r="B39" t="s">
        <v>127</v>
      </c>
      <c r="C39" t="s">
        <v>128</v>
      </c>
      <c r="D39" t="b">
        <v>1</v>
      </c>
      <c r="E39" t="s">
        <v>15</v>
      </c>
      <c r="F39" t="b">
        <v>1</v>
      </c>
      <c r="G39" t="str">
        <f t="shared" si="0"/>
        <v>EL2922PCSAAA022JD000005</v>
      </c>
      <c r="H39" t="str">
        <f t="shared" si="1"/>
        <v>EL2922PCSAAA022JD000005</v>
      </c>
      <c r="I39" t="str">
        <f t="shared" si="2"/>
        <v>XDJ</v>
      </c>
      <c r="J39">
        <f t="shared" si="3"/>
        <v>1</v>
      </c>
      <c r="AC39" t="s">
        <v>129</v>
      </c>
      <c r="AD39" t="str">
        <f t="shared" si="4"/>
        <v>EL2922PCSAAA022JD000003</v>
      </c>
      <c r="AE39" t="s">
        <v>24</v>
      </c>
      <c r="AF39">
        <v>1</v>
      </c>
    </row>
    <row r="40" spans="1:32">
      <c r="A40" t="s">
        <v>126</v>
      </c>
      <c r="B40" t="s">
        <v>130</v>
      </c>
      <c r="C40" t="s">
        <v>128</v>
      </c>
      <c r="D40" t="b">
        <v>1</v>
      </c>
      <c r="E40" t="s">
        <v>15</v>
      </c>
      <c r="F40" t="b">
        <v>1</v>
      </c>
      <c r="G40" t="str">
        <f t="shared" si="0"/>
        <v>EL2922PCSAAA022JD000004</v>
      </c>
      <c r="H40" t="str">
        <f t="shared" si="1"/>
        <v>EL2922PCSAAA022JD000004</v>
      </c>
      <c r="I40" t="str">
        <f t="shared" si="2"/>
        <v>XDJ</v>
      </c>
      <c r="J40">
        <f t="shared" si="3"/>
        <v>1</v>
      </c>
      <c r="AC40" t="s">
        <v>131</v>
      </c>
      <c r="AD40" t="str">
        <f t="shared" si="4"/>
        <v>EL2922PCSAAA022JD000004</v>
      </c>
      <c r="AE40" t="s">
        <v>24</v>
      </c>
      <c r="AF40">
        <v>1</v>
      </c>
    </row>
    <row r="41" spans="1:32">
      <c r="A41" t="s">
        <v>126</v>
      </c>
      <c r="B41" t="s">
        <v>132</v>
      </c>
      <c r="C41" t="s">
        <v>128</v>
      </c>
      <c r="D41" t="b">
        <v>1</v>
      </c>
      <c r="E41" t="s">
        <v>15</v>
      </c>
      <c r="F41" t="b">
        <v>1</v>
      </c>
      <c r="G41" t="str">
        <f t="shared" si="0"/>
        <v>EL2922PCSAAA022JD000003</v>
      </c>
      <c r="H41" t="str">
        <f t="shared" si="1"/>
        <v>EL2922PCSAAA022JD000003</v>
      </c>
      <c r="I41" t="str">
        <f t="shared" si="2"/>
        <v>XDJ</v>
      </c>
      <c r="J41">
        <f t="shared" si="3"/>
        <v>1</v>
      </c>
      <c r="AC41" t="s">
        <v>133</v>
      </c>
      <c r="AD41" t="str">
        <f t="shared" si="4"/>
        <v>EL2922PCSAAA022JD000005</v>
      </c>
      <c r="AE41" t="s">
        <v>24</v>
      </c>
      <c r="AF41">
        <v>1</v>
      </c>
    </row>
    <row r="42" spans="1:32">
      <c r="A42" t="s">
        <v>134</v>
      </c>
      <c r="B42" t="s">
        <v>135</v>
      </c>
      <c r="C42" t="s">
        <v>136</v>
      </c>
      <c r="D42" t="b">
        <v>1</v>
      </c>
      <c r="E42" t="s">
        <v>15</v>
      </c>
      <c r="F42" t="b">
        <v>1</v>
      </c>
      <c r="G42" t="str">
        <f t="shared" si="0"/>
        <v>EL2922PMTAAA322JD000002</v>
      </c>
      <c r="H42" t="str">
        <f t="shared" si="1"/>
        <v>EL2922PMTAAA322JD000002</v>
      </c>
      <c r="I42" t="str">
        <f t="shared" si="2"/>
        <v>XDJ</v>
      </c>
      <c r="J42">
        <f t="shared" si="3"/>
        <v>1</v>
      </c>
      <c r="AC42" t="s">
        <v>137</v>
      </c>
      <c r="AD42" t="str">
        <f t="shared" si="4"/>
        <v>EL2922PMTAAA322JD000002</v>
      </c>
      <c r="AE42" t="s">
        <v>24</v>
      </c>
      <c r="AF42">
        <v>1</v>
      </c>
    </row>
    <row r="43" spans="1:32">
      <c r="A43" t="s">
        <v>134</v>
      </c>
      <c r="B43" t="s">
        <v>138</v>
      </c>
      <c r="C43" t="s">
        <v>136</v>
      </c>
      <c r="D43" t="b">
        <v>1</v>
      </c>
      <c r="E43" t="s">
        <v>15</v>
      </c>
      <c r="F43" t="b">
        <v>1</v>
      </c>
      <c r="G43" t="str">
        <f t="shared" si="0"/>
        <v>EL2922PMTAAA322JD000004</v>
      </c>
      <c r="H43" t="str">
        <f t="shared" si="1"/>
        <v>EL2922PMTAAA322JD000004</v>
      </c>
      <c r="I43" t="str">
        <f t="shared" si="2"/>
        <v>XDJ</v>
      </c>
      <c r="J43">
        <f t="shared" si="3"/>
        <v>1</v>
      </c>
      <c r="AC43" t="s">
        <v>139</v>
      </c>
      <c r="AD43" t="str">
        <f t="shared" si="4"/>
        <v>EL2922PMTAAA322JD000003</v>
      </c>
      <c r="AE43" t="s">
        <v>140</v>
      </c>
      <c r="AF43">
        <v>1</v>
      </c>
    </row>
    <row r="44" spans="1:32">
      <c r="A44" t="s">
        <v>134</v>
      </c>
      <c r="B44" t="s">
        <v>141</v>
      </c>
      <c r="C44" t="s">
        <v>136</v>
      </c>
      <c r="D44" t="b">
        <v>1</v>
      </c>
      <c r="E44" t="s">
        <v>15</v>
      </c>
      <c r="F44" t="b">
        <v>1</v>
      </c>
      <c r="G44" t="str">
        <f t="shared" si="0"/>
        <v>EL2922PMTAAA322JD000003</v>
      </c>
      <c r="H44" t="str">
        <f t="shared" si="1"/>
        <v>EL2922PMTAAA322JD000003</v>
      </c>
      <c r="I44" t="str">
        <f t="shared" si="2"/>
        <v>XDK</v>
      </c>
      <c r="J44">
        <f t="shared" si="3"/>
        <v>1</v>
      </c>
      <c r="AC44" t="s">
        <v>142</v>
      </c>
      <c r="AD44" t="str">
        <f t="shared" si="4"/>
        <v>EL2922PMTAAA322JD000004</v>
      </c>
      <c r="AE44" t="s">
        <v>24</v>
      </c>
      <c r="AF44">
        <v>1</v>
      </c>
    </row>
    <row r="45" spans="1:32">
      <c r="A45" t="s">
        <v>143</v>
      </c>
      <c r="B45" t="s">
        <v>144</v>
      </c>
      <c r="C45" t="s">
        <v>145</v>
      </c>
      <c r="D45" t="b">
        <v>1</v>
      </c>
      <c r="E45" t="s">
        <v>15</v>
      </c>
      <c r="F45" t="b">
        <v>1</v>
      </c>
      <c r="G45" t="str">
        <f t="shared" si="0"/>
        <v>EL2922SCWAAA022JD000004</v>
      </c>
      <c r="H45" t="str">
        <f t="shared" si="1"/>
        <v>EL2922SCWAAA022JD000004</v>
      </c>
      <c r="I45" t="str">
        <f t="shared" si="2"/>
        <v>XDS</v>
      </c>
      <c r="J45">
        <f t="shared" si="3"/>
        <v>1</v>
      </c>
      <c r="AC45" t="s">
        <v>146</v>
      </c>
      <c r="AD45" t="str">
        <f t="shared" si="4"/>
        <v>EL2922SCWAAA022JD000004</v>
      </c>
      <c r="AE45" t="s">
        <v>17</v>
      </c>
      <c r="AF45">
        <v>1</v>
      </c>
    </row>
    <row r="46" spans="1:32">
      <c r="A46" t="s">
        <v>143</v>
      </c>
      <c r="B46" t="s">
        <v>147</v>
      </c>
      <c r="C46" t="s">
        <v>145</v>
      </c>
      <c r="D46" t="b">
        <v>1</v>
      </c>
      <c r="E46" t="s">
        <v>15</v>
      </c>
      <c r="F46" t="b">
        <v>1</v>
      </c>
      <c r="G46" t="str">
        <f t="shared" si="0"/>
        <v>EL2922SCWAAA022JD000005</v>
      </c>
      <c r="H46" t="str">
        <f t="shared" si="1"/>
        <v>EL2922SCWAAA022JD000005</v>
      </c>
      <c r="I46" t="str">
        <f t="shared" si="2"/>
        <v>XDG</v>
      </c>
      <c r="J46">
        <f t="shared" si="3"/>
        <v>1</v>
      </c>
      <c r="AC46" t="s">
        <v>148</v>
      </c>
      <c r="AD46" t="str">
        <f t="shared" si="4"/>
        <v>EL2922SCWAAA022JD000005</v>
      </c>
      <c r="AE46" t="s">
        <v>38</v>
      </c>
      <c r="AF46">
        <v>1</v>
      </c>
    </row>
    <row r="47" spans="1:32">
      <c r="A47" t="s">
        <v>149</v>
      </c>
      <c r="B47" t="s">
        <v>150</v>
      </c>
      <c r="C47" t="s">
        <v>151</v>
      </c>
      <c r="D47" t="b">
        <v>1</v>
      </c>
      <c r="E47" t="s">
        <v>15</v>
      </c>
      <c r="F47" t="b">
        <v>1</v>
      </c>
      <c r="G47" t="str">
        <f t="shared" si="0"/>
        <v>EL2923PYGAAA021BL000001</v>
      </c>
      <c r="H47" t="str">
        <f t="shared" si="1"/>
        <v>EL2923PYGAAA021BL000001</v>
      </c>
      <c r="I47" t="str">
        <f t="shared" si="2"/>
        <v>XDJ</v>
      </c>
      <c r="J47">
        <f t="shared" si="3"/>
        <v>1</v>
      </c>
      <c r="AC47" t="s">
        <v>152</v>
      </c>
      <c r="AD47" t="str">
        <f t="shared" si="4"/>
        <v>EL2923PYGAAA021BL000001</v>
      </c>
      <c r="AE47" t="s">
        <v>24</v>
      </c>
      <c r="AF47">
        <v>1</v>
      </c>
    </row>
    <row r="48" spans="1:32">
      <c r="A48" t="s">
        <v>149</v>
      </c>
      <c r="B48" t="s">
        <v>153</v>
      </c>
      <c r="C48" t="s">
        <v>151</v>
      </c>
      <c r="D48" t="b">
        <v>1</v>
      </c>
      <c r="E48" t="s">
        <v>15</v>
      </c>
      <c r="F48" t="b">
        <v>1</v>
      </c>
      <c r="G48" t="str">
        <f t="shared" si="0"/>
        <v>EL2923PYGAAA022HD000003</v>
      </c>
      <c r="H48" t="str">
        <f t="shared" si="1"/>
        <v>EL2923PYGAAA022HD000003</v>
      </c>
      <c r="I48" t="str">
        <f t="shared" si="2"/>
        <v>XDG</v>
      </c>
      <c r="J48">
        <f t="shared" si="3"/>
        <v>1</v>
      </c>
      <c r="AC48" t="s">
        <v>154</v>
      </c>
      <c r="AD48" t="str">
        <f t="shared" si="4"/>
        <v>EL2923PYGAAA022HD000003</v>
      </c>
      <c r="AE48" t="s">
        <v>38</v>
      </c>
      <c r="AF48">
        <v>1</v>
      </c>
    </row>
    <row r="49" spans="1:32">
      <c r="A49" t="s">
        <v>155</v>
      </c>
      <c r="B49" t="s">
        <v>156</v>
      </c>
      <c r="C49" t="s">
        <v>157</v>
      </c>
      <c r="D49" t="b">
        <v>1</v>
      </c>
      <c r="E49" t="s">
        <v>15</v>
      </c>
      <c r="F49" t="b">
        <v>1</v>
      </c>
      <c r="G49" t="str">
        <f t="shared" si="0"/>
        <v>EL3023SDKAFA022JA000003</v>
      </c>
      <c r="H49" t="str">
        <f t="shared" si="1"/>
        <v>EL3023SDKAFA022JA000003</v>
      </c>
      <c r="I49" t="str">
        <f t="shared" si="2"/>
        <v>XDG</v>
      </c>
      <c r="J49">
        <f t="shared" si="3"/>
        <v>1</v>
      </c>
      <c r="AC49" t="s">
        <v>158</v>
      </c>
      <c r="AD49" t="str">
        <f t="shared" si="4"/>
        <v>EL3023SDKAFA022JA000003</v>
      </c>
      <c r="AE49" t="s">
        <v>38</v>
      </c>
      <c r="AF49">
        <v>1</v>
      </c>
    </row>
    <row r="50" spans="1:32">
      <c r="A50" t="s">
        <v>159</v>
      </c>
      <c r="B50" t="s">
        <v>160</v>
      </c>
      <c r="C50" t="s">
        <v>161</v>
      </c>
      <c r="D50" t="b">
        <v>1</v>
      </c>
      <c r="E50" t="s">
        <v>15</v>
      </c>
      <c r="F50" t="b">
        <v>1</v>
      </c>
      <c r="G50" t="str">
        <f t="shared" si="0"/>
        <v>EL3023SDRADA022JA000004</v>
      </c>
      <c r="H50" t="str">
        <f t="shared" si="1"/>
        <v>EL3023SDRADA022JA000004</v>
      </c>
      <c r="I50" t="str">
        <f t="shared" si="2"/>
        <v>XDJ</v>
      </c>
      <c r="J50">
        <f t="shared" si="3"/>
        <v>1</v>
      </c>
      <c r="AC50" t="s">
        <v>162</v>
      </c>
      <c r="AD50" t="str">
        <f t="shared" si="4"/>
        <v>EL3023SDRADA022JA000002</v>
      </c>
      <c r="AE50" t="s">
        <v>17</v>
      </c>
      <c r="AF50">
        <v>1</v>
      </c>
    </row>
    <row r="51" spans="1:32">
      <c r="A51" t="s">
        <v>159</v>
      </c>
      <c r="B51" t="s">
        <v>163</v>
      </c>
      <c r="C51" t="s">
        <v>161</v>
      </c>
      <c r="D51" t="b">
        <v>1</v>
      </c>
      <c r="E51" t="s">
        <v>15</v>
      </c>
      <c r="F51" t="b">
        <v>1</v>
      </c>
      <c r="G51" t="str">
        <f t="shared" si="0"/>
        <v>EL3023SDRADA022JA000006</v>
      </c>
      <c r="H51" t="str">
        <f t="shared" si="1"/>
        <v>EL3023SDRADA022JA000006</v>
      </c>
      <c r="I51" t="str">
        <f t="shared" si="2"/>
        <v>XDJ</v>
      </c>
      <c r="J51">
        <f t="shared" si="3"/>
        <v>1</v>
      </c>
      <c r="AC51" t="s">
        <v>164</v>
      </c>
      <c r="AD51" t="str">
        <f t="shared" si="4"/>
        <v>EL3023SDRADA022JA000004</v>
      </c>
      <c r="AE51" t="s">
        <v>24</v>
      </c>
      <c r="AF51">
        <v>1</v>
      </c>
    </row>
    <row r="52" spans="1:32">
      <c r="A52" t="s">
        <v>159</v>
      </c>
      <c r="B52" t="s">
        <v>165</v>
      </c>
      <c r="C52" t="s">
        <v>161</v>
      </c>
      <c r="D52" t="b">
        <v>1</v>
      </c>
      <c r="E52" t="s">
        <v>15</v>
      </c>
      <c r="F52" t="b">
        <v>1</v>
      </c>
      <c r="G52" t="str">
        <f t="shared" si="0"/>
        <v>EL3023SDRADA022JA000002</v>
      </c>
      <c r="H52" t="str">
        <f t="shared" si="1"/>
        <v>EL3023SDRADA022JA000002</v>
      </c>
      <c r="I52" t="str">
        <f t="shared" si="2"/>
        <v>XDS</v>
      </c>
      <c r="J52">
        <f t="shared" si="3"/>
        <v>1</v>
      </c>
      <c r="AC52" t="s">
        <v>166</v>
      </c>
      <c r="AD52" t="str">
        <f t="shared" si="4"/>
        <v>EL3023SDRADA022JA000005</v>
      </c>
      <c r="AE52" t="s">
        <v>38</v>
      </c>
      <c r="AF52">
        <v>1</v>
      </c>
    </row>
    <row r="53" spans="1:32">
      <c r="A53" t="s">
        <v>159</v>
      </c>
      <c r="B53" t="s">
        <v>167</v>
      </c>
      <c r="C53" t="s">
        <v>161</v>
      </c>
      <c r="D53" t="b">
        <v>1</v>
      </c>
      <c r="E53" t="s">
        <v>15</v>
      </c>
      <c r="F53" t="b">
        <v>1</v>
      </c>
      <c r="G53" t="str">
        <f t="shared" si="0"/>
        <v>EL3023SDRADA022JA000005</v>
      </c>
      <c r="H53" t="str">
        <f t="shared" si="1"/>
        <v>EL3023SDRADA022JA000005</v>
      </c>
      <c r="I53" t="str">
        <f t="shared" si="2"/>
        <v>XDG</v>
      </c>
      <c r="J53">
        <f t="shared" si="3"/>
        <v>1</v>
      </c>
      <c r="AC53" t="s">
        <v>168</v>
      </c>
      <c r="AD53" t="str">
        <f t="shared" si="4"/>
        <v>EL3023SDRADA022JA000006</v>
      </c>
      <c r="AE53" t="s">
        <v>24</v>
      </c>
      <c r="AF53">
        <v>1</v>
      </c>
    </row>
    <row r="54" spans="1:32">
      <c r="A54" t="s">
        <v>159</v>
      </c>
      <c r="B54" t="s">
        <v>169</v>
      </c>
      <c r="C54" t="s">
        <v>161</v>
      </c>
      <c r="D54" t="b">
        <v>1</v>
      </c>
      <c r="E54" t="s">
        <v>15</v>
      </c>
      <c r="F54" t="b">
        <v>1</v>
      </c>
      <c r="G54" t="str">
        <f t="shared" si="0"/>
        <v>EL3023SDRADA022JA000007</v>
      </c>
      <c r="H54" t="str">
        <f t="shared" si="1"/>
        <v>EL3023SDRADA022JA000007</v>
      </c>
      <c r="I54" t="str">
        <f t="shared" si="2"/>
        <v>XDS</v>
      </c>
      <c r="J54">
        <f t="shared" si="3"/>
        <v>1</v>
      </c>
      <c r="AC54" t="s">
        <v>170</v>
      </c>
      <c r="AD54" t="str">
        <f t="shared" si="4"/>
        <v>EL3023SDRADA022JA000007</v>
      </c>
      <c r="AE54" t="s">
        <v>17</v>
      </c>
      <c r="AF54">
        <v>1</v>
      </c>
    </row>
    <row r="55" spans="1:32">
      <c r="A55" t="s">
        <v>171</v>
      </c>
      <c r="B55" t="s">
        <v>172</v>
      </c>
      <c r="C55" t="s">
        <v>173</v>
      </c>
      <c r="D55" t="b">
        <v>1</v>
      </c>
      <c r="E55" t="s">
        <v>15</v>
      </c>
      <c r="F55" t="b">
        <v>1</v>
      </c>
      <c r="G55" t="str">
        <f t="shared" si="0"/>
        <v>EL3023SDTAFA022JA000005</v>
      </c>
      <c r="H55" t="str">
        <f t="shared" si="1"/>
        <v>EL3023SDTAFA022JA000005</v>
      </c>
      <c r="I55" t="str">
        <f t="shared" si="2"/>
        <v>XDS</v>
      </c>
      <c r="J55">
        <f t="shared" si="3"/>
        <v>1</v>
      </c>
      <c r="AC55" t="s">
        <v>174</v>
      </c>
      <c r="AD55" t="str">
        <f t="shared" si="4"/>
        <v>EL3023SDTAFA022JA000001</v>
      </c>
      <c r="AE55" t="s">
        <v>24</v>
      </c>
      <c r="AF55">
        <v>1</v>
      </c>
    </row>
    <row r="56" spans="1:32">
      <c r="A56" t="s">
        <v>171</v>
      </c>
      <c r="B56" t="s">
        <v>175</v>
      </c>
      <c r="C56" t="s">
        <v>173</v>
      </c>
      <c r="D56" t="b">
        <v>1</v>
      </c>
      <c r="E56" t="s">
        <v>15</v>
      </c>
      <c r="F56" t="b">
        <v>1</v>
      </c>
      <c r="G56" t="str">
        <f t="shared" si="0"/>
        <v>EL3023SDTAFA022JA000001</v>
      </c>
      <c r="H56" t="str">
        <f t="shared" si="1"/>
        <v>EL3023SDTAFA022JA000001</v>
      </c>
      <c r="I56" t="str">
        <f t="shared" si="2"/>
        <v>XDJ</v>
      </c>
      <c r="J56">
        <f t="shared" si="3"/>
        <v>1</v>
      </c>
      <c r="AC56" t="s">
        <v>176</v>
      </c>
      <c r="AD56" t="str">
        <f t="shared" si="4"/>
        <v>EL3023SDTAFA022JA000005</v>
      </c>
      <c r="AE56" t="s">
        <v>17</v>
      </c>
      <c r="AF56">
        <v>1</v>
      </c>
    </row>
    <row r="57" spans="1:32">
      <c r="A57" t="s">
        <v>177</v>
      </c>
      <c r="B57" t="s">
        <v>178</v>
      </c>
      <c r="C57" t="s">
        <v>179</v>
      </c>
      <c r="D57" t="b">
        <v>1</v>
      </c>
      <c r="E57" t="s">
        <v>15</v>
      </c>
      <c r="F57" t="b">
        <v>1</v>
      </c>
      <c r="G57" t="str">
        <f t="shared" si="0"/>
        <v>EL3023SEXAFA022JA000002</v>
      </c>
      <c r="H57" t="str">
        <f t="shared" si="1"/>
        <v>EL3023SEXAFA022JA000002</v>
      </c>
      <c r="I57" t="str">
        <f t="shared" si="2"/>
        <v>XDJ</v>
      </c>
      <c r="J57">
        <f t="shared" si="3"/>
        <v>1</v>
      </c>
      <c r="AC57" t="s">
        <v>180</v>
      </c>
      <c r="AD57" t="str">
        <f t="shared" si="4"/>
        <v>EL3023SEXAFA022JA000002</v>
      </c>
      <c r="AE57" t="s">
        <v>24</v>
      </c>
      <c r="AF57">
        <v>1</v>
      </c>
    </row>
    <row r="58" spans="1:32">
      <c r="A58" t="s">
        <v>181</v>
      </c>
      <c r="B58" t="s">
        <v>182</v>
      </c>
      <c r="C58" t="s">
        <v>183</v>
      </c>
      <c r="D58" t="b">
        <v>1</v>
      </c>
      <c r="E58" t="s">
        <v>15</v>
      </c>
      <c r="F58" t="b">
        <v>1</v>
      </c>
      <c r="G58" t="str">
        <f t="shared" si="0"/>
        <v>EL3023SEZADA022HD000003</v>
      </c>
      <c r="H58" t="str">
        <f t="shared" si="1"/>
        <v>EL3023SEZADA022HD000003</v>
      </c>
      <c r="I58" t="str">
        <f t="shared" si="2"/>
        <v>XDJ</v>
      </c>
      <c r="J58">
        <f t="shared" si="3"/>
        <v>1</v>
      </c>
      <c r="AC58" t="s">
        <v>184</v>
      </c>
      <c r="AD58" t="str">
        <f t="shared" si="4"/>
        <v>EL3023SEZADA022HD000003</v>
      </c>
      <c r="AE58" t="s">
        <v>24</v>
      </c>
      <c r="AF58">
        <v>1</v>
      </c>
    </row>
    <row r="59" spans="1:32">
      <c r="A59" t="s">
        <v>181</v>
      </c>
      <c r="B59" t="s">
        <v>185</v>
      </c>
      <c r="C59" t="s">
        <v>183</v>
      </c>
      <c r="D59" t="b">
        <v>1</v>
      </c>
      <c r="E59" t="s">
        <v>15</v>
      </c>
      <c r="F59" t="b">
        <v>1</v>
      </c>
      <c r="G59" t="str">
        <f t="shared" si="0"/>
        <v>EL3023SEZADA022HD000007</v>
      </c>
      <c r="H59" t="str">
        <f t="shared" si="1"/>
        <v>EL3023SEZADA022HD000007</v>
      </c>
      <c r="I59" t="str">
        <f t="shared" si="2"/>
        <v>XDG</v>
      </c>
      <c r="J59">
        <f t="shared" si="3"/>
        <v>1</v>
      </c>
      <c r="AC59" t="s">
        <v>186</v>
      </c>
      <c r="AD59" t="str">
        <f t="shared" si="4"/>
        <v>EL3023SEZADA022HD000007</v>
      </c>
      <c r="AE59" t="s">
        <v>38</v>
      </c>
      <c r="AF59">
        <v>1</v>
      </c>
    </row>
    <row r="60" spans="1:32">
      <c r="A60" t="s">
        <v>187</v>
      </c>
      <c r="B60" t="s">
        <v>188</v>
      </c>
      <c r="C60" t="s">
        <v>189</v>
      </c>
      <c r="D60" t="b">
        <v>1</v>
      </c>
      <c r="E60" t="s">
        <v>15</v>
      </c>
      <c r="F60" t="b">
        <v>1</v>
      </c>
      <c r="G60" t="str">
        <f t="shared" si="0"/>
        <v>EL3024PEJAAA022HD000002</v>
      </c>
      <c r="H60" t="str">
        <f t="shared" si="1"/>
        <v>EL3024PEJAAA022HD000002</v>
      </c>
      <c r="I60" t="str">
        <f t="shared" si="2"/>
        <v>XDJ</v>
      </c>
      <c r="J60">
        <f t="shared" si="3"/>
        <v>1</v>
      </c>
      <c r="AC60" t="s">
        <v>190</v>
      </c>
      <c r="AD60" t="str">
        <f t="shared" si="4"/>
        <v>EL3024PEJAAA022HD000002</v>
      </c>
      <c r="AE60" t="s">
        <v>24</v>
      </c>
      <c r="AF60">
        <v>1</v>
      </c>
    </row>
    <row r="61" spans="1:32">
      <c r="A61" t="s">
        <v>191</v>
      </c>
      <c r="B61" t="s">
        <v>192</v>
      </c>
      <c r="C61" t="s">
        <v>193</v>
      </c>
      <c r="D61" t="b">
        <v>1</v>
      </c>
      <c r="E61" t="s">
        <v>15</v>
      </c>
      <c r="F61" t="b">
        <v>1</v>
      </c>
      <c r="G61" t="str">
        <f t="shared" si="0"/>
        <v>EL3024PGXAAA021BL000001</v>
      </c>
      <c r="H61" t="str">
        <f t="shared" si="1"/>
        <v>EL3024PGXAAA021BL000001</v>
      </c>
      <c r="I61" t="str">
        <f t="shared" si="2"/>
        <v>XDJ</v>
      </c>
      <c r="J61">
        <f t="shared" si="3"/>
        <v>1</v>
      </c>
      <c r="AC61" t="s">
        <v>194</v>
      </c>
      <c r="AD61" t="str">
        <f t="shared" si="4"/>
        <v>EL3024PGXAAA021BL000001</v>
      </c>
      <c r="AE61" t="s">
        <v>24</v>
      </c>
      <c r="AF61">
        <v>1</v>
      </c>
    </row>
    <row r="62" spans="1:32">
      <c r="A62" t="s">
        <v>195</v>
      </c>
      <c r="B62" t="s">
        <v>196</v>
      </c>
      <c r="C62" t="s">
        <v>197</v>
      </c>
      <c r="D62" t="b">
        <v>1</v>
      </c>
      <c r="E62" t="s">
        <v>15</v>
      </c>
      <c r="F62" t="b">
        <v>1</v>
      </c>
      <c r="G62" t="str">
        <f t="shared" si="0"/>
        <v>EL3024PHMAAA321BL000006</v>
      </c>
      <c r="H62" t="str">
        <f t="shared" si="1"/>
        <v>EL3024PHMAAA321BL000006</v>
      </c>
      <c r="I62" t="str">
        <f t="shared" si="2"/>
        <v>XSL</v>
      </c>
      <c r="J62">
        <f t="shared" si="3"/>
        <v>1</v>
      </c>
      <c r="AC62" t="s">
        <v>198</v>
      </c>
      <c r="AD62" t="str">
        <f t="shared" si="4"/>
        <v>EL3024PHMAAA321BL000004</v>
      </c>
      <c r="AE62" t="s">
        <v>24</v>
      </c>
      <c r="AF62">
        <v>1</v>
      </c>
    </row>
    <row r="63" spans="1:32">
      <c r="A63" t="s">
        <v>195</v>
      </c>
      <c r="B63" t="s">
        <v>199</v>
      </c>
      <c r="C63" t="s">
        <v>197</v>
      </c>
      <c r="D63" t="b">
        <v>1</v>
      </c>
      <c r="E63" t="s">
        <v>15</v>
      </c>
      <c r="F63" t="b">
        <v>1</v>
      </c>
      <c r="G63" t="str">
        <f t="shared" si="0"/>
        <v>EL3024PHMAAA321BL000004</v>
      </c>
      <c r="H63" t="str">
        <f t="shared" si="1"/>
        <v>EL3024PHMAAA321BL000004</v>
      </c>
      <c r="I63" t="str">
        <f t="shared" si="2"/>
        <v>XDJ</v>
      </c>
      <c r="J63">
        <f t="shared" si="3"/>
        <v>1</v>
      </c>
      <c r="AC63" t="s">
        <v>200</v>
      </c>
      <c r="AD63" t="str">
        <f t="shared" si="4"/>
        <v>EL3024PHMAAA321BL000005</v>
      </c>
      <c r="AE63" t="s">
        <v>24</v>
      </c>
      <c r="AF63">
        <v>1</v>
      </c>
    </row>
    <row r="64" spans="1:32">
      <c r="A64" t="s">
        <v>195</v>
      </c>
      <c r="B64" t="s">
        <v>201</v>
      </c>
      <c r="C64" t="s">
        <v>197</v>
      </c>
      <c r="D64" t="b">
        <v>1</v>
      </c>
      <c r="E64" t="s">
        <v>15</v>
      </c>
      <c r="F64" t="b">
        <v>1</v>
      </c>
      <c r="G64" t="str">
        <f t="shared" si="0"/>
        <v>EL3024PHMAAA321BL000005</v>
      </c>
      <c r="H64" t="str">
        <f t="shared" si="1"/>
        <v>EL3024PHMAAA321BL000005</v>
      </c>
      <c r="I64" t="str">
        <f t="shared" si="2"/>
        <v>XDJ</v>
      </c>
      <c r="J64">
        <f t="shared" si="3"/>
        <v>1</v>
      </c>
      <c r="AC64" t="s">
        <v>202</v>
      </c>
      <c r="AD64" t="str">
        <f t="shared" si="4"/>
        <v>EL3024PHMAAA321BL000006</v>
      </c>
      <c r="AE64" t="s">
        <v>27</v>
      </c>
      <c r="AF64">
        <v>1</v>
      </c>
    </row>
    <row r="65" spans="1:32">
      <c r="A65" t="s">
        <v>203</v>
      </c>
      <c r="B65" t="s">
        <v>204</v>
      </c>
      <c r="C65" t="s">
        <v>205</v>
      </c>
      <c r="D65" t="b">
        <v>1</v>
      </c>
      <c r="E65" t="s">
        <v>15</v>
      </c>
      <c r="F65" t="b">
        <v>1</v>
      </c>
      <c r="G65" t="str">
        <f t="shared" si="0"/>
        <v>EL3822PGZAAA021BL000002</v>
      </c>
      <c r="H65" t="str">
        <f t="shared" si="1"/>
        <v>EL3822PGZAAA021BL000002</v>
      </c>
      <c r="I65" t="str">
        <f t="shared" si="2"/>
        <v>XDG</v>
      </c>
      <c r="J65">
        <f t="shared" si="3"/>
        <v>1</v>
      </c>
      <c r="AC65" t="s">
        <v>206</v>
      </c>
      <c r="AD65" t="str">
        <f t="shared" si="4"/>
        <v>EL3822PGZAAA021BL000002</v>
      </c>
      <c r="AE65" t="s">
        <v>38</v>
      </c>
      <c r="AF65">
        <v>1</v>
      </c>
    </row>
    <row r="66" spans="1:32">
      <c r="A66" t="s">
        <v>203</v>
      </c>
      <c r="B66" t="s">
        <v>207</v>
      </c>
      <c r="C66" t="s">
        <v>205</v>
      </c>
      <c r="D66" t="b">
        <v>1</v>
      </c>
      <c r="E66" t="s">
        <v>15</v>
      </c>
      <c r="F66" t="b">
        <v>1</v>
      </c>
      <c r="G66" t="str">
        <f t="shared" si="0"/>
        <v>EL3822PGZAAA021BL000003</v>
      </c>
      <c r="H66" t="str">
        <f t="shared" si="1"/>
        <v>EL3822PGZAAA021BL000003</v>
      </c>
      <c r="I66" t="str">
        <f t="shared" si="2"/>
        <v>XDJ</v>
      </c>
      <c r="J66">
        <f t="shared" si="3"/>
        <v>1</v>
      </c>
      <c r="AC66" t="s">
        <v>208</v>
      </c>
      <c r="AD66" t="str">
        <f t="shared" si="4"/>
        <v>EL3822PGZAAA021BL000003</v>
      </c>
      <c r="AE66" t="s">
        <v>24</v>
      </c>
      <c r="AF66">
        <v>1</v>
      </c>
    </row>
    <row r="67" spans="1:32">
      <c r="A67" t="s">
        <v>209</v>
      </c>
      <c r="B67" t="s">
        <v>210</v>
      </c>
      <c r="C67" t="s">
        <v>211</v>
      </c>
      <c r="D67" t="b">
        <v>1</v>
      </c>
      <c r="E67" t="s">
        <v>15</v>
      </c>
      <c r="F67" t="b">
        <v>1</v>
      </c>
      <c r="G67" t="str">
        <f t="shared" ref="G67:G89" si="5">UPPER(B67)</f>
        <v>EL3823BJPBAA022JD000004</v>
      </c>
      <c r="H67" t="str">
        <f t="shared" ref="H67:H89" si="6">VLOOKUP($G67,$AD$2:$AF$89,1,FALSE)</f>
        <v>EL3823BJPBAA022JD000004</v>
      </c>
      <c r="I67" t="str">
        <f t="shared" ref="I67:I89" si="7">VLOOKUP($G67,$AD$2:$AF$89,2,FALSE)</f>
        <v>XDJ</v>
      </c>
      <c r="J67">
        <f t="shared" ref="J67:J89" si="8">VLOOKUP($G67,$AD$2:$AF$89,3,FALSE)</f>
        <v>1</v>
      </c>
      <c r="AC67" t="s">
        <v>212</v>
      </c>
      <c r="AD67" t="str">
        <f t="shared" ref="AD67:AD89" si="9">TRIM($AC67)</f>
        <v>EL3823BJPBAA022JD000003</v>
      </c>
      <c r="AE67" t="s">
        <v>38</v>
      </c>
      <c r="AF67">
        <v>1</v>
      </c>
    </row>
    <row r="68" spans="1:32">
      <c r="A68" t="s">
        <v>209</v>
      </c>
      <c r="B68" t="s">
        <v>213</v>
      </c>
      <c r="C68" t="s">
        <v>211</v>
      </c>
      <c r="D68" t="b">
        <v>1</v>
      </c>
      <c r="E68" t="s">
        <v>15</v>
      </c>
      <c r="F68" t="b">
        <v>1</v>
      </c>
      <c r="G68" t="str">
        <f t="shared" si="5"/>
        <v>EL3823BJPBAA022JD000003</v>
      </c>
      <c r="H68" t="str">
        <f t="shared" si="6"/>
        <v>EL3823BJPBAA022JD000003</v>
      </c>
      <c r="I68" t="str">
        <f t="shared" si="7"/>
        <v>XDG</v>
      </c>
      <c r="J68">
        <f t="shared" si="8"/>
        <v>1</v>
      </c>
      <c r="AC68" t="s">
        <v>214</v>
      </c>
      <c r="AD68" t="str">
        <f t="shared" si="9"/>
        <v>EL3823BJPBAA022JD000004</v>
      </c>
      <c r="AE68" t="s">
        <v>24</v>
      </c>
      <c r="AF68">
        <v>1</v>
      </c>
    </row>
    <row r="69" spans="1:32">
      <c r="A69" t="s">
        <v>215</v>
      </c>
      <c r="B69" t="s">
        <v>216</v>
      </c>
      <c r="C69" t="s">
        <v>217</v>
      </c>
      <c r="D69" t="b">
        <v>1</v>
      </c>
      <c r="E69" t="s">
        <v>15</v>
      </c>
      <c r="F69" t="b">
        <v>1</v>
      </c>
      <c r="G69" t="str">
        <f t="shared" si="5"/>
        <v>EL3823PAQAAA021BL000001</v>
      </c>
      <c r="H69" t="str">
        <f t="shared" si="6"/>
        <v>EL3823PAQAAA021BL000001</v>
      </c>
      <c r="I69" t="str">
        <f t="shared" si="7"/>
        <v>XDJ</v>
      </c>
      <c r="J69">
        <f t="shared" si="8"/>
        <v>1</v>
      </c>
      <c r="AC69" t="s">
        <v>218</v>
      </c>
      <c r="AD69" t="str">
        <f t="shared" si="9"/>
        <v>EL3823PAQAAA021BL000001</v>
      </c>
      <c r="AE69" t="s">
        <v>24</v>
      </c>
      <c r="AF69">
        <v>1</v>
      </c>
    </row>
    <row r="70" spans="1:32">
      <c r="A70" t="s">
        <v>215</v>
      </c>
      <c r="B70" t="s">
        <v>219</v>
      </c>
      <c r="C70" t="s">
        <v>217</v>
      </c>
      <c r="D70" t="b">
        <v>1</v>
      </c>
      <c r="E70" t="s">
        <v>15</v>
      </c>
      <c r="F70" t="b">
        <v>1</v>
      </c>
      <c r="G70" t="str">
        <f t="shared" si="5"/>
        <v>EL3823PAQAAA021BL000002</v>
      </c>
      <c r="H70" t="str">
        <f t="shared" si="6"/>
        <v>EL3823PAQAAA021BL000002</v>
      </c>
      <c r="I70" t="str">
        <f t="shared" si="7"/>
        <v>XDJ</v>
      </c>
      <c r="J70">
        <f t="shared" si="8"/>
        <v>1</v>
      </c>
      <c r="AC70" t="s">
        <v>220</v>
      </c>
      <c r="AD70" t="str">
        <f t="shared" si="9"/>
        <v>EL3823PAQAAA021BL000002</v>
      </c>
      <c r="AE70" t="s">
        <v>24</v>
      </c>
      <c r="AF70">
        <v>1</v>
      </c>
    </row>
    <row r="71" spans="1:32">
      <c r="A71" t="s">
        <v>215</v>
      </c>
      <c r="B71" t="s">
        <v>221</v>
      </c>
      <c r="C71" t="s">
        <v>217</v>
      </c>
      <c r="D71" t="b">
        <v>1</v>
      </c>
      <c r="E71" t="s">
        <v>15</v>
      </c>
      <c r="F71" t="b">
        <v>1</v>
      </c>
      <c r="G71" t="str">
        <f t="shared" si="5"/>
        <v>EL3823PAQAAA021BL000004</v>
      </c>
      <c r="H71" t="str">
        <f t="shared" si="6"/>
        <v>EL3823PAQAAA021BL000004</v>
      </c>
      <c r="I71" t="str">
        <f t="shared" si="7"/>
        <v>XDS</v>
      </c>
      <c r="J71">
        <f t="shared" si="8"/>
        <v>1</v>
      </c>
      <c r="AC71" t="s">
        <v>222</v>
      </c>
      <c r="AD71" t="str">
        <f t="shared" si="9"/>
        <v>EL3823PAQAAA021BL000004</v>
      </c>
      <c r="AE71" t="s">
        <v>17</v>
      </c>
      <c r="AF71">
        <v>1</v>
      </c>
    </row>
    <row r="72" spans="1:32">
      <c r="A72" t="s">
        <v>223</v>
      </c>
      <c r="B72" t="s">
        <v>224</v>
      </c>
      <c r="C72" t="s">
        <v>225</v>
      </c>
      <c r="D72" t="b">
        <v>1</v>
      </c>
      <c r="E72" t="s">
        <v>15</v>
      </c>
      <c r="F72" t="b">
        <v>1</v>
      </c>
      <c r="G72" t="str">
        <f t="shared" si="5"/>
        <v>EL3823PARAAA021BL000002</v>
      </c>
      <c r="H72" t="str">
        <f t="shared" si="6"/>
        <v>EL3823PARAAA021BL000002</v>
      </c>
      <c r="I72" t="str">
        <f t="shared" si="7"/>
        <v>XDJ</v>
      </c>
      <c r="J72">
        <f t="shared" si="8"/>
        <v>1</v>
      </c>
      <c r="AC72" t="s">
        <v>226</v>
      </c>
      <c r="AD72" t="str">
        <f t="shared" si="9"/>
        <v>EL3823PARAAA021BL000001</v>
      </c>
      <c r="AE72" t="s">
        <v>17</v>
      </c>
      <c r="AF72">
        <v>1</v>
      </c>
    </row>
    <row r="73" spans="1:32">
      <c r="A73" t="s">
        <v>223</v>
      </c>
      <c r="B73" t="s">
        <v>227</v>
      </c>
      <c r="C73" t="s">
        <v>225</v>
      </c>
      <c r="D73" t="b">
        <v>1</v>
      </c>
      <c r="E73" t="s">
        <v>15</v>
      </c>
      <c r="F73" t="b">
        <v>1</v>
      </c>
      <c r="G73" t="str">
        <f t="shared" si="5"/>
        <v>EL3823PARAAA021BL000001</v>
      </c>
      <c r="H73" t="str">
        <f t="shared" si="6"/>
        <v>EL3823PARAAA021BL000001</v>
      </c>
      <c r="I73" t="str">
        <f t="shared" si="7"/>
        <v>XDS</v>
      </c>
      <c r="J73">
        <f t="shared" si="8"/>
        <v>1</v>
      </c>
      <c r="AC73" t="s">
        <v>228</v>
      </c>
      <c r="AD73" t="str">
        <f t="shared" si="9"/>
        <v>EL3823PARAAA021BL000002</v>
      </c>
      <c r="AE73" t="s">
        <v>24</v>
      </c>
      <c r="AF73">
        <v>1</v>
      </c>
    </row>
    <row r="74" spans="1:32">
      <c r="A74" t="s">
        <v>223</v>
      </c>
      <c r="B74" t="s">
        <v>229</v>
      </c>
      <c r="C74" t="s">
        <v>225</v>
      </c>
      <c r="D74" t="b">
        <v>1</v>
      </c>
      <c r="E74" t="s">
        <v>15</v>
      </c>
      <c r="F74" t="b">
        <v>1</v>
      </c>
      <c r="G74" t="str">
        <f t="shared" si="5"/>
        <v>EL3823PARAAA021BL000003</v>
      </c>
      <c r="H74" t="str">
        <f t="shared" si="6"/>
        <v>EL3823PARAAA021BL000003</v>
      </c>
      <c r="I74" t="str">
        <f t="shared" si="7"/>
        <v>XDJ</v>
      </c>
      <c r="J74">
        <f t="shared" si="8"/>
        <v>1</v>
      </c>
      <c r="AC74" t="s">
        <v>230</v>
      </c>
      <c r="AD74" t="str">
        <f t="shared" si="9"/>
        <v>EL3823PARAAA021BL000003</v>
      </c>
      <c r="AE74" t="s">
        <v>24</v>
      </c>
      <c r="AF74">
        <v>1</v>
      </c>
    </row>
    <row r="75" spans="1:32">
      <c r="A75" t="s">
        <v>231</v>
      </c>
      <c r="B75" t="s">
        <v>232</v>
      </c>
      <c r="C75" t="s">
        <v>233</v>
      </c>
      <c r="D75" t="b">
        <v>1</v>
      </c>
      <c r="E75" t="s">
        <v>15</v>
      </c>
      <c r="F75" t="b">
        <v>1</v>
      </c>
      <c r="G75" t="str">
        <f t="shared" si="5"/>
        <v>EL3823PLIAAA022JD000005</v>
      </c>
      <c r="H75" t="str">
        <f t="shared" si="6"/>
        <v>EL3823PLIAAA022JD000005</v>
      </c>
      <c r="I75" t="str">
        <f t="shared" si="7"/>
        <v>XDJ</v>
      </c>
      <c r="J75">
        <f t="shared" si="8"/>
        <v>1</v>
      </c>
      <c r="AC75" t="s">
        <v>234</v>
      </c>
      <c r="AD75" t="str">
        <f t="shared" si="9"/>
        <v>EL3823PLIAAA022JD000005</v>
      </c>
      <c r="AE75" t="s">
        <v>24</v>
      </c>
      <c r="AF75">
        <v>1</v>
      </c>
    </row>
    <row r="76" spans="1:32">
      <c r="A76" t="s">
        <v>231</v>
      </c>
      <c r="B76" t="s">
        <v>235</v>
      </c>
      <c r="C76" t="s">
        <v>233</v>
      </c>
      <c r="D76" t="b">
        <v>1</v>
      </c>
      <c r="E76" t="s">
        <v>15</v>
      </c>
      <c r="F76" t="b">
        <v>1</v>
      </c>
      <c r="G76" t="str">
        <f t="shared" si="5"/>
        <v>EL3823PLIAAA022JD000006</v>
      </c>
      <c r="H76" t="str">
        <f t="shared" si="6"/>
        <v>EL3823PLIAAA022JD000006</v>
      </c>
      <c r="I76" t="str">
        <f t="shared" si="7"/>
        <v>XDT</v>
      </c>
      <c r="J76">
        <f t="shared" si="8"/>
        <v>1</v>
      </c>
      <c r="AC76" t="s">
        <v>236</v>
      </c>
      <c r="AD76" t="str">
        <f t="shared" si="9"/>
        <v>EL3823PLIAAA022JD000006</v>
      </c>
      <c r="AE76" t="s">
        <v>103</v>
      </c>
      <c r="AF76">
        <v>1</v>
      </c>
    </row>
    <row r="77" spans="1:32">
      <c r="A77" t="s">
        <v>237</v>
      </c>
      <c r="B77" t="s">
        <v>238</v>
      </c>
      <c r="C77" t="s">
        <v>239</v>
      </c>
      <c r="D77" t="b">
        <v>1</v>
      </c>
      <c r="E77" t="s">
        <v>15</v>
      </c>
      <c r="F77" t="b">
        <v>1</v>
      </c>
      <c r="G77" t="str">
        <f t="shared" si="5"/>
        <v>EL3823SGSAAA021BL000001</v>
      </c>
      <c r="H77" t="str">
        <f t="shared" si="6"/>
        <v>EL3823SGSAAA021BL000001</v>
      </c>
      <c r="I77" t="str">
        <f t="shared" si="7"/>
        <v>XDS</v>
      </c>
      <c r="J77">
        <f t="shared" si="8"/>
        <v>1</v>
      </c>
      <c r="AC77" t="s">
        <v>240</v>
      </c>
      <c r="AD77" t="str">
        <f t="shared" si="9"/>
        <v>EL3823SGSAAA021BL000001</v>
      </c>
      <c r="AE77" t="s">
        <v>17</v>
      </c>
      <c r="AF77">
        <v>1</v>
      </c>
    </row>
    <row r="78" spans="1:32">
      <c r="A78" t="s">
        <v>237</v>
      </c>
      <c r="B78" t="s">
        <v>241</v>
      </c>
      <c r="C78" t="s">
        <v>239</v>
      </c>
      <c r="D78" t="b">
        <v>1</v>
      </c>
      <c r="E78" t="s">
        <v>15</v>
      </c>
      <c r="F78" t="b">
        <v>1</v>
      </c>
      <c r="G78" t="str">
        <f t="shared" si="5"/>
        <v>EL3823SGSAAA021BL000004</v>
      </c>
      <c r="H78" t="str">
        <f t="shared" si="6"/>
        <v>EL3823SGSAAA021BL000004</v>
      </c>
      <c r="I78" t="str">
        <f t="shared" si="7"/>
        <v>XDJ</v>
      </c>
      <c r="J78">
        <f t="shared" si="8"/>
        <v>1</v>
      </c>
      <c r="AC78" t="s">
        <v>242</v>
      </c>
      <c r="AD78" t="str">
        <f t="shared" si="9"/>
        <v>EL3823SGSAAA021BL000004</v>
      </c>
      <c r="AE78" t="s">
        <v>24</v>
      </c>
      <c r="AF78">
        <v>1</v>
      </c>
    </row>
    <row r="79" spans="1:32">
      <c r="A79" t="s">
        <v>243</v>
      </c>
      <c r="B79" t="s">
        <v>244</v>
      </c>
      <c r="C79" t="s">
        <v>245</v>
      </c>
      <c r="D79" t="b">
        <v>1</v>
      </c>
      <c r="E79" t="s">
        <v>15</v>
      </c>
      <c r="F79" t="b">
        <v>1</v>
      </c>
      <c r="G79" t="str">
        <f t="shared" si="5"/>
        <v>EL3824PJXAAA022JD000001</v>
      </c>
      <c r="H79" t="str">
        <f t="shared" si="6"/>
        <v>EL3824PJXAAA022JD000001</v>
      </c>
      <c r="I79" t="str">
        <f t="shared" si="7"/>
        <v>XDJ</v>
      </c>
      <c r="J79">
        <f t="shared" si="8"/>
        <v>1</v>
      </c>
      <c r="AC79" t="s">
        <v>246</v>
      </c>
      <c r="AD79" t="str">
        <f t="shared" si="9"/>
        <v>EL3824PJXAAA022JD000001</v>
      </c>
      <c r="AE79" t="s">
        <v>24</v>
      </c>
      <c r="AF79">
        <v>1</v>
      </c>
    </row>
    <row r="80" spans="1:32">
      <c r="A80" t="s">
        <v>247</v>
      </c>
      <c r="B80" t="s">
        <v>248</v>
      </c>
      <c r="C80" t="s">
        <v>249</v>
      </c>
      <c r="D80" t="b">
        <v>1</v>
      </c>
      <c r="E80" t="s">
        <v>15</v>
      </c>
      <c r="F80" t="b">
        <v>1</v>
      </c>
      <c r="G80" t="str">
        <f t="shared" si="5"/>
        <v>EL3824PKCAAA022JD000003</v>
      </c>
      <c r="H80" t="str">
        <f t="shared" si="6"/>
        <v>EL3824PKCAAA022JD000003</v>
      </c>
      <c r="I80" t="str">
        <f t="shared" si="7"/>
        <v>XDJ</v>
      </c>
      <c r="J80">
        <f t="shared" si="8"/>
        <v>1</v>
      </c>
      <c r="AC80" t="s">
        <v>250</v>
      </c>
      <c r="AD80" t="str">
        <f t="shared" si="9"/>
        <v>EL3824PKCAAA022JD000003</v>
      </c>
      <c r="AE80" t="s">
        <v>24</v>
      </c>
      <c r="AF80">
        <v>1</v>
      </c>
    </row>
    <row r="81" spans="1:32">
      <c r="A81" t="s">
        <v>247</v>
      </c>
      <c r="B81" t="s">
        <v>251</v>
      </c>
      <c r="C81" t="s">
        <v>249</v>
      </c>
      <c r="D81" t="b">
        <v>1</v>
      </c>
      <c r="E81" t="s">
        <v>15</v>
      </c>
      <c r="F81" t="b">
        <v>1</v>
      </c>
      <c r="G81" t="str">
        <f t="shared" si="5"/>
        <v>EL3824PKCAAA022JD000005</v>
      </c>
      <c r="H81" t="str">
        <f t="shared" si="6"/>
        <v>EL3824PKCAAA022JD000005</v>
      </c>
      <c r="I81" t="str">
        <f t="shared" si="7"/>
        <v>XDJ</v>
      </c>
      <c r="J81">
        <f t="shared" si="8"/>
        <v>1</v>
      </c>
      <c r="AC81" t="s">
        <v>252</v>
      </c>
      <c r="AD81" t="str">
        <f t="shared" si="9"/>
        <v>EL3824PKCAAA022JD000005</v>
      </c>
      <c r="AE81" t="s">
        <v>24</v>
      </c>
      <c r="AF81">
        <v>1</v>
      </c>
    </row>
    <row r="82" spans="1:32">
      <c r="A82" t="s">
        <v>253</v>
      </c>
      <c r="B82" t="s">
        <v>254</v>
      </c>
      <c r="C82" t="s">
        <v>255</v>
      </c>
      <c r="D82" t="b">
        <v>1</v>
      </c>
      <c r="E82" t="s">
        <v>15</v>
      </c>
      <c r="F82" t="b">
        <v>1</v>
      </c>
      <c r="G82" t="str">
        <f t="shared" si="5"/>
        <v>EL3824PKPAAA022JD000001</v>
      </c>
      <c r="H82" t="str">
        <f t="shared" si="6"/>
        <v>EL3824PKPAAA022JD000001</v>
      </c>
      <c r="I82" t="str">
        <f t="shared" si="7"/>
        <v>XDS</v>
      </c>
      <c r="J82">
        <f t="shared" si="8"/>
        <v>1</v>
      </c>
      <c r="AC82" t="s">
        <v>256</v>
      </c>
      <c r="AD82" t="str">
        <f t="shared" si="9"/>
        <v>EL3824PKPAAA022JD000001</v>
      </c>
      <c r="AE82" t="s">
        <v>17</v>
      </c>
      <c r="AF82">
        <v>1</v>
      </c>
    </row>
    <row r="83" spans="1:32">
      <c r="A83" t="s">
        <v>257</v>
      </c>
      <c r="B83" t="s">
        <v>258</v>
      </c>
      <c r="C83" t="s">
        <v>259</v>
      </c>
      <c r="D83" t="b">
        <v>1</v>
      </c>
      <c r="E83" t="s">
        <v>15</v>
      </c>
      <c r="F83" t="b">
        <v>1</v>
      </c>
      <c r="G83" t="str">
        <f t="shared" si="5"/>
        <v>EL4922SDVAAA022JA000008</v>
      </c>
      <c r="H83" t="str">
        <f t="shared" si="6"/>
        <v>EL4922SDVAAA022JA000008</v>
      </c>
      <c r="I83" t="str">
        <f t="shared" si="7"/>
        <v>XDJ</v>
      </c>
      <c r="J83">
        <f t="shared" si="8"/>
        <v>1</v>
      </c>
      <c r="AC83" t="s">
        <v>260</v>
      </c>
      <c r="AD83" t="str">
        <f t="shared" si="9"/>
        <v>EL4922SDVAAA022JA000005</v>
      </c>
      <c r="AE83" t="s">
        <v>38</v>
      </c>
      <c r="AF83">
        <v>1</v>
      </c>
    </row>
    <row r="84" spans="1:32">
      <c r="A84" t="s">
        <v>257</v>
      </c>
      <c r="B84" t="s">
        <v>261</v>
      </c>
      <c r="C84" t="s">
        <v>259</v>
      </c>
      <c r="D84" t="b">
        <v>1</v>
      </c>
      <c r="E84" t="s">
        <v>15</v>
      </c>
      <c r="F84" t="b">
        <v>1</v>
      </c>
      <c r="G84" t="str">
        <f t="shared" si="5"/>
        <v>EL4922SDVAAA022JA000005</v>
      </c>
      <c r="H84" t="str">
        <f t="shared" si="6"/>
        <v>EL4922SDVAAA022JA000005</v>
      </c>
      <c r="I84" t="str">
        <f t="shared" si="7"/>
        <v>XDG</v>
      </c>
      <c r="J84">
        <f t="shared" si="8"/>
        <v>1</v>
      </c>
      <c r="AC84" t="s">
        <v>262</v>
      </c>
      <c r="AD84" t="str">
        <f t="shared" si="9"/>
        <v>EL4922SDVAAA022JA000008</v>
      </c>
      <c r="AE84" t="s">
        <v>24</v>
      </c>
      <c r="AF84">
        <v>1</v>
      </c>
    </row>
    <row r="85" spans="1:32">
      <c r="A85" t="s">
        <v>263</v>
      </c>
      <c r="B85" t="s">
        <v>264</v>
      </c>
      <c r="C85" t="s">
        <v>265</v>
      </c>
      <c r="D85" t="b">
        <v>1</v>
      </c>
      <c r="E85" t="s">
        <v>15</v>
      </c>
      <c r="F85" t="b">
        <v>1</v>
      </c>
      <c r="G85" t="str">
        <f t="shared" si="5"/>
        <v>EL5923SHBADA022JA000002</v>
      </c>
      <c r="H85" t="str">
        <f t="shared" si="6"/>
        <v>EL5923SHBADA022JA000002</v>
      </c>
      <c r="I85" t="str">
        <f t="shared" si="7"/>
        <v>XDJ</v>
      </c>
      <c r="J85">
        <f t="shared" si="8"/>
        <v>1</v>
      </c>
      <c r="AC85" t="s">
        <v>266</v>
      </c>
      <c r="AD85" t="str">
        <f t="shared" si="9"/>
        <v>EL5923SHBADA022JA000002</v>
      </c>
      <c r="AE85" t="s">
        <v>24</v>
      </c>
      <c r="AF85">
        <v>1</v>
      </c>
    </row>
    <row r="86" spans="1:32">
      <c r="A86" t="s">
        <v>263</v>
      </c>
      <c r="B86" t="s">
        <v>267</v>
      </c>
      <c r="C86" t="s">
        <v>265</v>
      </c>
      <c r="D86" t="b">
        <v>1</v>
      </c>
      <c r="E86" t="s">
        <v>15</v>
      </c>
      <c r="F86" t="b">
        <v>1</v>
      </c>
      <c r="G86" t="str">
        <f t="shared" si="5"/>
        <v>EL5923SHBADA022JA000008</v>
      </c>
      <c r="H86" t="str">
        <f t="shared" si="6"/>
        <v>EL5923SHBADA022JA000008</v>
      </c>
      <c r="I86" t="str">
        <f t="shared" si="7"/>
        <v>XDJ</v>
      </c>
      <c r="J86">
        <f t="shared" si="8"/>
        <v>1</v>
      </c>
      <c r="AC86" t="s">
        <v>268</v>
      </c>
      <c r="AD86" t="str">
        <f t="shared" si="9"/>
        <v>EL5923SHBADA022JA000006</v>
      </c>
      <c r="AE86" t="s">
        <v>38</v>
      </c>
      <c r="AF86">
        <v>1</v>
      </c>
    </row>
    <row r="87" spans="1:32">
      <c r="A87" t="s">
        <v>263</v>
      </c>
      <c r="B87" t="s">
        <v>269</v>
      </c>
      <c r="C87" t="s">
        <v>265</v>
      </c>
      <c r="D87" t="b">
        <v>1</v>
      </c>
      <c r="E87" t="s">
        <v>15</v>
      </c>
      <c r="F87" t="b">
        <v>1</v>
      </c>
      <c r="G87" t="str">
        <f t="shared" si="5"/>
        <v>EL5923SHBADA022JA000007</v>
      </c>
      <c r="H87" t="str">
        <f t="shared" si="6"/>
        <v>EL5923SHBADA022JA000007</v>
      </c>
      <c r="I87" t="str">
        <f t="shared" si="7"/>
        <v>XDJ</v>
      </c>
      <c r="J87">
        <f t="shared" si="8"/>
        <v>1</v>
      </c>
      <c r="AC87" t="s">
        <v>270</v>
      </c>
      <c r="AD87" t="str">
        <f t="shared" si="9"/>
        <v>EL5923SHBADA022JA000007</v>
      </c>
      <c r="AE87" t="s">
        <v>24</v>
      </c>
      <c r="AF87">
        <v>1</v>
      </c>
    </row>
    <row r="88" spans="1:32">
      <c r="A88" t="s">
        <v>263</v>
      </c>
      <c r="B88" t="s">
        <v>271</v>
      </c>
      <c r="C88" t="s">
        <v>265</v>
      </c>
      <c r="D88" t="b">
        <v>1</v>
      </c>
      <c r="E88" t="s">
        <v>15</v>
      </c>
      <c r="F88" t="b">
        <v>1</v>
      </c>
      <c r="G88" t="str">
        <f t="shared" si="5"/>
        <v>EL5923SHBADA022JA000006</v>
      </c>
      <c r="H88" t="str">
        <f t="shared" si="6"/>
        <v>EL5923SHBADA022JA000006</v>
      </c>
      <c r="I88" t="str">
        <f t="shared" si="7"/>
        <v>XDG</v>
      </c>
      <c r="J88">
        <f t="shared" si="8"/>
        <v>1</v>
      </c>
      <c r="AC88" t="s">
        <v>272</v>
      </c>
      <c r="AD88" t="str">
        <f t="shared" si="9"/>
        <v>EL5923SHBADA022JA000008</v>
      </c>
      <c r="AE88" t="s">
        <v>24</v>
      </c>
      <c r="AF88">
        <v>1</v>
      </c>
    </row>
    <row r="89" spans="1:32">
      <c r="A89" t="s">
        <v>273</v>
      </c>
      <c r="B89" t="s">
        <v>274</v>
      </c>
      <c r="C89" t="s">
        <v>275</v>
      </c>
      <c r="D89" t="b">
        <v>1</v>
      </c>
      <c r="E89" t="s">
        <v>276</v>
      </c>
      <c r="F89" t="b">
        <v>1</v>
      </c>
      <c r="G89" t="str">
        <f t="shared" si="5"/>
        <v>EPW2A2DHGABA002EA000005</v>
      </c>
      <c r="H89" t="str">
        <f t="shared" si="6"/>
        <v>EPW2A2DHGABA002EA000005</v>
      </c>
      <c r="I89" t="str">
        <f t="shared" si="7"/>
        <v>XDG</v>
      </c>
      <c r="J89">
        <f t="shared" si="8"/>
        <v>1</v>
      </c>
      <c r="AC89" t="s">
        <v>277</v>
      </c>
      <c r="AD89" t="str">
        <f t="shared" si="9"/>
        <v>EPW2A2DHGABA002EA000005</v>
      </c>
      <c r="AE89" t="s">
        <v>38</v>
      </c>
      <c r="AF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Salmon S</cp:lastModifiedBy>
  <cp:revision/>
  <dcterms:created xsi:type="dcterms:W3CDTF">2025-10-09T06:38:19Z</dcterms:created>
  <dcterms:modified xsi:type="dcterms:W3CDTF">2025-10-09T06:47:19Z</dcterms:modified>
  <cp:category/>
  <cp:contentStatus/>
</cp:coreProperties>
</file>