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149" documentId="11_0B1D56BE9CDCCE836B02CE7A5FB0D4A9BBFD1C62" xr6:coauthVersionLast="47" xr6:coauthVersionMax="47" xr10:uidLastSave="{02B516BA-CD69-44E0-998D-B32D6DCB35D7}"/>
  <bookViews>
    <workbookView xWindow="240" yWindow="105" windowWidth="14805" windowHeight="8010" firstSheet="1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C5" i="1"/>
  <c r="B5" i="1"/>
  <c r="D5" i="1"/>
  <c r="D3" i="1"/>
  <c r="D2" i="1"/>
</calcChain>
</file>

<file path=xl/sharedStrings.xml><?xml version="1.0" encoding="utf-8"?>
<sst xmlns="http://schemas.openxmlformats.org/spreadsheetml/2006/main" count="115" uniqueCount="69">
  <si>
    <t>Unit Price</t>
  </si>
  <si>
    <t>Tax</t>
  </si>
  <si>
    <t>Line total</t>
  </si>
  <si>
    <t>JPMC</t>
  </si>
  <si>
    <t>JPMC Expected</t>
  </si>
  <si>
    <t>Encircle</t>
  </si>
  <si>
    <t>Line 1</t>
  </si>
  <si>
    <t>Order level</t>
  </si>
  <si>
    <t>Order No</t>
  </si>
  <si>
    <t>Request</t>
  </si>
  <si>
    <t>Response</t>
  </si>
  <si>
    <t>00005112</t>
  </si>
  <si>
    <t xml:space="preserve">&lt;Order Amount="57747" ChargeType="CHARGE" OrderNo="00005112" TxRefNum="66EC6C950FB5106A00001BB20000281552505390"/&gt;
</t>
  </si>
  <si>
    <t xml:space="preserve">&lt;Order Amount="57747" Message="Approved" OrderNo="00005112"/&gt;
</t>
  </si>
  <si>
    <t xml:space="preserve">&lt;Order Amount="94395" ChargeType="CHARGE" OrderNo="00005112" TxRefNum="66EC6C950FB5106A00001BB20000281552505390"/&gt;
</t>
  </si>
  <si>
    <t xml:space="preserve">&lt;Order Amount="94395" Message="Approved" OrderNo="00005112"/&gt;
</t>
  </si>
  <si>
    <t>00005169</t>
  </si>
  <si>
    <t>Invoice update not received</t>
  </si>
  <si>
    <t>00005311</t>
  </si>
  <si>
    <t>&lt;Order Amount="254700" ChargeType="CHARGE" OrderNo="00005311" TxRefNum="66F5B6210FF7D6A000001F9E00003DB352505451"/&gt;</t>
  </si>
  <si>
    <t>&lt;Order Amount="254700" Message="Approved" OrderNo="00005311"/&gt;</t>
  </si>
  <si>
    <t>&lt;Order Amount="964100" ChargeType="CHARGE" OrderNo="00005311" TxRefNum="66F5B6210FF7D6A000001F9E00003DB352505451"/&gt;</t>
  </si>
  <si>
    <t>&lt;Order Amount="964100" Message="Approved" OrderNo="00005311"/&gt;</t>
  </si>
  <si>
    <t>00005439</t>
  </si>
  <si>
    <t>&lt;Order Amount="74973" ChargeType="CHARGE" OrderNo="00005439" TxRefNum="66FAB127154359580000082A0001A1CD525054D8"/&gt;</t>
  </si>
  <si>
    <t>&lt;Order Amount="74973" Message="Approved" OrderNo="00005439"/&gt;</t>
  </si>
  <si>
    <t>&lt;Order Amount="56441" ChargeType="CHARGE" OrderNo="00005439" TxRefNum="66FAB127154359580000082A0001A1CD525054D8"/&gt;</t>
  </si>
  <si>
    <t>&lt;Order Amount="56441" Message="Approved" OrderNo="00005439"/&gt;</t>
  </si>
  <si>
    <t>&lt;Order Amount="21376" ChargeType="CHARGE" OrderNo="00005439" TxRefNum="66FAB127154359580000082A0001A1CD525054D8"/&gt;</t>
  </si>
  <si>
    <t>&lt;Order Amount="21376" Message="Approved" OrderNo="00005439"/&gt;</t>
  </si>
  <si>
    <t>00005644</t>
  </si>
  <si>
    <t>&lt;Order Amount="35616" ChargeType="CHARGE" OrderNo="00005644" TxRefNum="6701B0A520CF017D00002F3A0000A7E05250530F"/&gt;</t>
  </si>
  <si>
    <t>&lt;Order Amount="35616" Message="Approved" OrderNo="00005644"/&gt;</t>
  </si>
  <si>
    <t>&lt;Order Amount="133878" ChargeType="CHARGE" OrderNo="00005644" TxRefNum="6701B0A520CF017D00002F3A0000A7E05250530F"/&gt;</t>
  </si>
  <si>
    <t>&lt;Order Amount="133878" Message="Approved" OrderNo="00005644"/&gt;</t>
  </si>
  <si>
    <t>00005779</t>
  </si>
  <si>
    <t>&lt;Order Amount="19100" ChargeType="CHARGE" OrderNo="00005779" TxRefNum="670581C418DAAEC600000C1600008503525053B6"/&gt;</t>
  </si>
  <si>
    <t>&lt;Order Amount="19100" Message="Approved" OrderNo="00005779"/&gt;</t>
  </si>
  <si>
    <t>&lt;Order Amount="134400" ChargeType="CHARGE" OrderNo="00005779" TxRefNum="670581C418DAAEC600000C1600008503525053B6"/&gt;</t>
  </si>
  <si>
    <t>&lt;Order Amount="134400" Message="Approved" OrderNo="00005779"/&gt;</t>
  </si>
  <si>
    <t>&lt;Order Amount="25100" ChargeType="CHARGE" OrderNo="00005779" TxRefNum="670581C418DAAEC600000C1600008503525053B6"/&gt;</t>
  </si>
  <si>
    <t>&lt;Order Amount="25100" Message="Approved" OrderNo="00005779"/&gt;</t>
  </si>
  <si>
    <t>00004901</t>
  </si>
  <si>
    <t>Received invoice update only for 354</t>
  </si>
  <si>
    <t>&lt;Order Amount="35400" ChargeType="CHARGE" OrderNo="00004901" TxRefNum="66E50DDF16514CFB000017CE00012E3F5250542E"/&gt;</t>
  </si>
  <si>
    <t>&lt;Order Amount="35400" Message="Approved" OrderNo="00004901"/&gt;</t>
  </si>
  <si>
    <t>CHARGE_TYPE</t>
  </si>
  <si>
    <t>STATUS</t>
  </si>
  <si>
    <t>CREDIT_AMOUNT</t>
  </si>
  <si>
    <t>DEBIT_AMOUNT</t>
  </si>
  <si>
    <t>BOOK_AMOUNT</t>
  </si>
  <si>
    <t>OPEN_AUTHORIZED_AMOUNT</t>
  </si>
  <si>
    <t>REQUEST_AMOUNT</t>
  </si>
  <si>
    <t>DISTRIBUTED_AMOUNT</t>
  </si>
  <si>
    <t>SETTLED_AMOUNT</t>
  </si>
  <si>
    <t>CREATEUSERID</t>
  </si>
  <si>
    <t>MODIFYUSERID</t>
  </si>
  <si>
    <t>CHARGE</t>
  </si>
  <si>
    <t xml:space="preserve">CHECKED        </t>
  </si>
  <si>
    <t>SFCCCreateOrderMsgIntegServer</t>
  </si>
  <si>
    <t>IBD_PaymentCollectionAgentServer</t>
  </si>
  <si>
    <t>AUTHORIZATION</t>
  </si>
  <si>
    <t>CREATE_ORDER</t>
  </si>
  <si>
    <t>SHIPMENT</t>
  </si>
  <si>
    <t>anupama@solveda.com</t>
  </si>
  <si>
    <t>RETURN</t>
  </si>
  <si>
    <t>CreateReturnOrderInvcIntegServer</t>
  </si>
  <si>
    <t>IBDEncircleIntegServer</t>
  </si>
  <si>
    <t xml:space="preserve">OPEN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</si>
</sst>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F5" sqref="F5:G5"/>
    </sheetView>
  </sheetViews>
  <sheetFormatPr defaultRowHeight="15"/>
  <cols>
    <col min="6" max="6" width="14.28515625" bestFit="1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312</v>
      </c>
      <c r="C2">
        <v>23.4</v>
      </c>
      <c r="D2">
        <f>$B2+$C2</f>
        <v>335.4</v>
      </c>
      <c r="E2">
        <v>335.4</v>
      </c>
      <c r="F2">
        <v>334.4</v>
      </c>
      <c r="G2">
        <v>1</v>
      </c>
    </row>
    <row r="3" spans="1:7">
      <c r="A3" t="s">
        <v>6</v>
      </c>
      <c r="B3">
        <v>1056</v>
      </c>
      <c r="C3">
        <v>79.2</v>
      </c>
      <c r="D3">
        <f>$B3+$C3</f>
        <v>1135.2</v>
      </c>
      <c r="E3">
        <v>1135.2</v>
      </c>
      <c r="F3">
        <v>1131.2</v>
      </c>
      <c r="G3">
        <v>4</v>
      </c>
    </row>
    <row r="5" spans="1:7">
      <c r="A5" t="s">
        <v>7</v>
      </c>
      <c r="B5">
        <f>B2+B3</f>
        <v>1368</v>
      </c>
      <c r="C5">
        <f>C2+C3</f>
        <v>102.6</v>
      </c>
      <c r="D5">
        <f>D2+D3</f>
        <v>1470.6</v>
      </c>
      <c r="F5">
        <f>F2+F3</f>
        <v>1465.6</v>
      </c>
      <c r="G5">
        <f>G2+G3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F823-2638-43F6-A034-3B3BECB9461D}">
  <dimension ref="A1:C26"/>
  <sheetViews>
    <sheetView workbookViewId="0">
      <selection activeCell="B3" sqref="B3"/>
    </sheetView>
  </sheetViews>
  <sheetFormatPr defaultRowHeight="15"/>
  <cols>
    <col min="1" max="1" width="12.7109375" style="9" customWidth="1"/>
    <col min="2" max="2" width="64.85546875" style="1" customWidth="1"/>
    <col min="3" max="3" width="64" customWidth="1"/>
  </cols>
  <sheetData>
    <row r="1" spans="1:3">
      <c r="A1" s="3" t="s">
        <v>8</v>
      </c>
      <c r="B1" s="4" t="s">
        <v>9</v>
      </c>
      <c r="C1" s="5" t="s">
        <v>10</v>
      </c>
    </row>
    <row r="2" spans="1:3" ht="43.5">
      <c r="A2" s="10" t="s">
        <v>11</v>
      </c>
      <c r="B2" s="11" t="s">
        <v>12</v>
      </c>
      <c r="C2" s="11" t="s">
        <v>13</v>
      </c>
    </row>
    <row r="3" spans="1:3" ht="43.5">
      <c r="A3" s="3" t="s">
        <v>11</v>
      </c>
      <c r="B3" s="4" t="s">
        <v>14</v>
      </c>
      <c r="C3" s="4" t="s">
        <v>15</v>
      </c>
    </row>
    <row r="4" spans="1:3">
      <c r="A4" s="3" t="s">
        <v>16</v>
      </c>
      <c r="B4" s="4" t="s">
        <v>17</v>
      </c>
      <c r="C4" s="5"/>
    </row>
    <row r="5" spans="1:3" ht="29.25">
      <c r="A5" s="12" t="s">
        <v>18</v>
      </c>
      <c r="B5" s="4" t="s">
        <v>19</v>
      </c>
      <c r="C5" s="5" t="s">
        <v>20</v>
      </c>
    </row>
    <row r="6" spans="1:3" ht="29.25">
      <c r="A6" s="12"/>
      <c r="B6" s="4" t="s">
        <v>21</v>
      </c>
      <c r="C6" s="5" t="s">
        <v>22</v>
      </c>
    </row>
    <row r="7" spans="1:3" ht="29.25">
      <c r="A7" s="12" t="s">
        <v>23</v>
      </c>
      <c r="B7" s="4" t="s">
        <v>24</v>
      </c>
      <c r="C7" s="5" t="s">
        <v>25</v>
      </c>
    </row>
    <row r="8" spans="1:3" ht="29.25">
      <c r="A8" s="12"/>
      <c r="B8" s="4" t="s">
        <v>26</v>
      </c>
      <c r="C8" s="5" t="s">
        <v>27</v>
      </c>
    </row>
    <row r="9" spans="1:3" ht="29.25">
      <c r="A9" s="12"/>
      <c r="B9" s="4" t="s">
        <v>28</v>
      </c>
      <c r="C9" s="5" t="s">
        <v>29</v>
      </c>
    </row>
    <row r="10" spans="1:3" ht="29.25">
      <c r="A10" s="12" t="s">
        <v>30</v>
      </c>
      <c r="B10" s="4" t="s">
        <v>31</v>
      </c>
      <c r="C10" s="5" t="s">
        <v>32</v>
      </c>
    </row>
    <row r="11" spans="1:3" ht="29.25">
      <c r="A11" s="12"/>
      <c r="B11" s="4" t="s">
        <v>33</v>
      </c>
      <c r="C11" s="5" t="s">
        <v>34</v>
      </c>
    </row>
    <row r="12" spans="1:3" ht="29.25">
      <c r="A12" s="12" t="s">
        <v>35</v>
      </c>
      <c r="B12" s="4" t="s">
        <v>36</v>
      </c>
      <c r="C12" s="5" t="s">
        <v>37</v>
      </c>
    </row>
    <row r="13" spans="1:3" ht="29.25">
      <c r="A13" s="12"/>
      <c r="B13" s="4" t="s">
        <v>38</v>
      </c>
      <c r="C13" s="5" t="s">
        <v>39</v>
      </c>
    </row>
    <row r="14" spans="1:3" ht="29.25">
      <c r="A14" s="12"/>
      <c r="B14" s="4" t="s">
        <v>40</v>
      </c>
      <c r="C14" s="5" t="s">
        <v>41</v>
      </c>
    </row>
    <row r="15" spans="1:3">
      <c r="A15" s="12" t="s">
        <v>42</v>
      </c>
      <c r="B15" s="6" t="s">
        <v>43</v>
      </c>
      <c r="C15" s="5"/>
    </row>
    <row r="16" spans="1:3" ht="29.25">
      <c r="A16" s="12"/>
      <c r="B16" s="7" t="s">
        <v>44</v>
      </c>
      <c r="C16" s="8" t="s">
        <v>45</v>
      </c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</sheetData>
  <mergeCells count="5">
    <mergeCell ref="A15:A16"/>
    <mergeCell ref="A12:A14"/>
    <mergeCell ref="A10:A11"/>
    <mergeCell ref="A7:A9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1F98-6835-40E0-9CE7-1522F448ED8F}">
  <dimension ref="A1:K15"/>
  <sheetViews>
    <sheetView tabSelected="1" topLeftCell="A14" workbookViewId="0">
      <selection sqref="A1:K15"/>
    </sheetView>
  </sheetViews>
  <sheetFormatPr defaultRowHeight="15"/>
  <cols>
    <col min="1" max="1" width="15.5703125" bestFit="1" customWidth="1"/>
    <col min="2" max="2" width="13.28515625" bestFit="1" customWidth="1"/>
    <col min="3" max="3" width="8.85546875" customWidth="1"/>
    <col min="4" max="4" width="7.7109375" customWidth="1"/>
    <col min="5" max="5" width="8.7109375" customWidth="1"/>
    <col min="6" max="6" width="14.85546875" customWidth="1"/>
    <col min="7" max="7" width="9.5703125" customWidth="1"/>
    <col min="8" max="8" width="12.42578125" customWidth="1"/>
    <col min="9" max="9" width="9.7109375" customWidth="1"/>
    <col min="10" max="10" width="31" customWidth="1"/>
    <col min="11" max="11" width="32.42578125" bestFit="1" customWidth="1"/>
  </cols>
  <sheetData>
    <row r="1" spans="1:11" s="1" customFormat="1" ht="31.5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</row>
    <row r="2" spans="1:11">
      <c r="A2" t="s">
        <v>57</v>
      </c>
      <c r="B2" t="s">
        <v>58</v>
      </c>
      <c r="C2">
        <v>5</v>
      </c>
      <c r="D2">
        <v>0</v>
      </c>
      <c r="E2">
        <v>0</v>
      </c>
      <c r="F2">
        <v>0</v>
      </c>
      <c r="G2">
        <v>5</v>
      </c>
      <c r="H2">
        <v>-5</v>
      </c>
      <c r="I2">
        <v>0</v>
      </c>
      <c r="J2" t="s">
        <v>59</v>
      </c>
      <c r="K2" t="s">
        <v>60</v>
      </c>
    </row>
    <row r="3" spans="1:11">
      <c r="A3" t="s">
        <v>61</v>
      </c>
      <c r="B3" t="s">
        <v>58</v>
      </c>
      <c r="C3">
        <v>0</v>
      </c>
      <c r="D3">
        <v>0</v>
      </c>
      <c r="E3">
        <v>0</v>
      </c>
      <c r="F3">
        <v>5982.31</v>
      </c>
      <c r="G3">
        <v>5982.31</v>
      </c>
      <c r="H3">
        <v>0</v>
      </c>
      <c r="I3">
        <v>0</v>
      </c>
      <c r="J3" t="s">
        <v>59</v>
      </c>
      <c r="K3" t="s">
        <v>60</v>
      </c>
    </row>
    <row r="4" spans="1:11">
      <c r="A4" t="s">
        <v>62</v>
      </c>
      <c r="B4" t="s">
        <v>58</v>
      </c>
      <c r="C4">
        <v>0</v>
      </c>
      <c r="D4">
        <v>0</v>
      </c>
      <c r="E4">
        <v>5987.31</v>
      </c>
      <c r="F4">
        <v>0</v>
      </c>
      <c r="G4">
        <v>0</v>
      </c>
      <c r="H4">
        <v>0</v>
      </c>
      <c r="I4">
        <v>0</v>
      </c>
      <c r="J4" t="s">
        <v>59</v>
      </c>
      <c r="K4" t="s">
        <v>60</v>
      </c>
    </row>
    <row r="5" spans="1:11">
      <c r="A5" t="s">
        <v>63</v>
      </c>
      <c r="B5" t="s">
        <v>58</v>
      </c>
      <c r="C5">
        <v>0</v>
      </c>
      <c r="D5">
        <v>1520.91</v>
      </c>
      <c r="E5">
        <v>-1520.91</v>
      </c>
      <c r="F5">
        <v>0</v>
      </c>
      <c r="G5">
        <v>0</v>
      </c>
      <c r="H5">
        <v>1520.91</v>
      </c>
      <c r="I5">
        <v>0</v>
      </c>
      <c r="J5" t="s">
        <v>64</v>
      </c>
      <c r="K5" t="s">
        <v>60</v>
      </c>
    </row>
    <row r="6" spans="1:11">
      <c r="A6" t="s">
        <v>57</v>
      </c>
      <c r="B6" t="s">
        <v>58</v>
      </c>
      <c r="C6">
        <v>1515.91</v>
      </c>
      <c r="D6">
        <v>0</v>
      </c>
      <c r="E6">
        <v>0</v>
      </c>
      <c r="F6">
        <v>0</v>
      </c>
      <c r="G6">
        <v>1515.91</v>
      </c>
      <c r="H6">
        <v>-1515.91</v>
      </c>
      <c r="I6">
        <v>0</v>
      </c>
      <c r="J6" t="s">
        <v>60</v>
      </c>
      <c r="K6" t="s">
        <v>60</v>
      </c>
    </row>
    <row r="7" spans="1:11">
      <c r="A7" t="s">
        <v>65</v>
      </c>
      <c r="B7" t="s">
        <v>58</v>
      </c>
      <c r="C7">
        <v>0</v>
      </c>
      <c r="D7">
        <v>-1520.91</v>
      </c>
      <c r="E7">
        <v>0</v>
      </c>
      <c r="F7">
        <v>0</v>
      </c>
      <c r="G7">
        <v>0</v>
      </c>
      <c r="H7">
        <v>-1516.91</v>
      </c>
      <c r="I7">
        <v>0</v>
      </c>
      <c r="J7" t="s">
        <v>66</v>
      </c>
      <c r="K7" t="s">
        <v>60</v>
      </c>
    </row>
    <row r="8" spans="1:11">
      <c r="A8" t="s">
        <v>57</v>
      </c>
      <c r="B8" t="s">
        <v>58</v>
      </c>
      <c r="C8">
        <v>-1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 t="s">
        <v>67</v>
      </c>
      <c r="K8" t="s">
        <v>60</v>
      </c>
    </row>
    <row r="9" spans="1:11">
      <c r="A9" t="s">
        <v>57</v>
      </c>
      <c r="B9" t="s">
        <v>58</v>
      </c>
      <c r="C9">
        <v>-1515.91</v>
      </c>
      <c r="D9">
        <v>0</v>
      </c>
      <c r="E9">
        <v>0</v>
      </c>
      <c r="F9">
        <v>0</v>
      </c>
      <c r="G9">
        <v>-1515.91</v>
      </c>
      <c r="H9">
        <v>1515.91</v>
      </c>
      <c r="I9">
        <v>0</v>
      </c>
      <c r="J9" t="s">
        <v>60</v>
      </c>
      <c r="K9" t="s">
        <v>60</v>
      </c>
    </row>
    <row r="10" spans="1:11">
      <c r="A10" t="s">
        <v>63</v>
      </c>
      <c r="B10" t="s">
        <v>58</v>
      </c>
      <c r="C10">
        <v>0</v>
      </c>
      <c r="D10">
        <v>4466.3999999999996</v>
      </c>
      <c r="E10">
        <v>-4466.3999999999996</v>
      </c>
      <c r="F10">
        <v>0</v>
      </c>
      <c r="G10">
        <v>0</v>
      </c>
      <c r="H10">
        <v>4461.3999999999996</v>
      </c>
      <c r="I10">
        <v>0</v>
      </c>
      <c r="J10" t="s">
        <v>64</v>
      </c>
      <c r="K10" t="s">
        <v>60</v>
      </c>
    </row>
    <row r="11" spans="1:11">
      <c r="A11" t="s">
        <v>57</v>
      </c>
      <c r="B11" t="s">
        <v>58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 t="s">
        <v>60</v>
      </c>
      <c r="K11" t="s">
        <v>60</v>
      </c>
    </row>
    <row r="12" spans="1:11">
      <c r="A12" t="s">
        <v>57</v>
      </c>
      <c r="B12" t="s">
        <v>58</v>
      </c>
      <c r="C12">
        <v>4461.3999999999996</v>
      </c>
      <c r="D12">
        <v>0</v>
      </c>
      <c r="E12">
        <v>0</v>
      </c>
      <c r="F12">
        <v>0</v>
      </c>
      <c r="G12">
        <v>4461.3999999999996</v>
      </c>
      <c r="H12">
        <v>-4461.3999999999996</v>
      </c>
      <c r="I12">
        <v>0</v>
      </c>
      <c r="J12" t="s">
        <v>60</v>
      </c>
      <c r="K12" t="s">
        <v>60</v>
      </c>
    </row>
    <row r="13" spans="1:11">
      <c r="A13" t="s">
        <v>57</v>
      </c>
      <c r="B13" t="s">
        <v>58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 t="s">
        <v>60</v>
      </c>
      <c r="K13" t="s">
        <v>60</v>
      </c>
    </row>
    <row r="14" spans="1:11">
      <c r="A14" t="s">
        <v>57</v>
      </c>
      <c r="B14" t="s">
        <v>68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 t="s">
        <v>60</v>
      </c>
      <c r="K14" t="s">
        <v>60</v>
      </c>
    </row>
    <row r="15" spans="1:11">
      <c r="A15" t="s">
        <v>65</v>
      </c>
      <c r="B15" t="s">
        <v>68</v>
      </c>
      <c r="C15">
        <v>0</v>
      </c>
      <c r="D15">
        <v>-4466.3999999999996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66</v>
      </c>
      <c r="K1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2024-09-27T10:51:29Z</dcterms:created>
  <dcterms:modified xsi:type="dcterms:W3CDTF">2024-11-28T06:02:11Z</dcterms:modified>
  <cp:category/>
  <cp:contentStatus/>
</cp:coreProperties>
</file>