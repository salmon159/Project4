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xr:revisionPtr revIDLastSave="497" documentId="11_0B1D56BE9CDCCE836B02CE7A5FB0D4A9BBFD1C62" xr6:coauthVersionLast="47" xr6:coauthVersionMax="47" xr10:uidLastSave="{D1B94C02-C95C-4248-8FCB-5C17BF6F40FE}"/>
  <bookViews>
    <workbookView xWindow="240" yWindow="105" windowWidth="14805" windowHeight="8010" firstSheet="2" activeTab="2" xr2:uid="{00000000-000D-0000-FFFF-FFFF00000000}"/>
  </bookViews>
  <sheets>
    <sheet name="GCC Mark delivered" sheetId="1" r:id="rId1"/>
    <sheet name="SO-Processing" sheetId="2" r:id="rId2"/>
    <sheet name="Kount Orders" sheetId="4" r:id="rId3"/>
    <sheet name="Item Inventory sheet" sheetId="3" r:id="rId4"/>
    <sheet name="Item Add invenvtory shee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9" i="4"/>
  <c r="C10" i="4"/>
  <c r="C11" i="4"/>
  <c r="C12" i="4"/>
  <c r="C13" i="4"/>
  <c r="C14" i="4"/>
  <c r="I3" i="5"/>
  <c r="I4" i="5"/>
  <c r="I5" i="5"/>
  <c r="I2" i="5"/>
  <c r="C7" i="4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E5" i="1"/>
  <c r="E6" i="1"/>
  <c r="E7" i="1"/>
  <c r="E8" i="1"/>
  <c r="E9" i="1"/>
  <c r="E10" i="1"/>
  <c r="E11" i="1"/>
  <c r="E12" i="1"/>
  <c r="E13" i="1"/>
  <c r="D5" i="1"/>
  <c r="D6" i="1"/>
  <c r="D7" i="1"/>
  <c r="D8" i="1"/>
  <c r="D9" i="1"/>
  <c r="D10" i="1"/>
  <c r="D11" i="1"/>
  <c r="D12" i="1"/>
  <c r="D13" i="1"/>
  <c r="G2" i="2"/>
  <c r="K8" i="2"/>
  <c r="K7" i="2"/>
  <c r="K4" i="2"/>
  <c r="K6" i="2"/>
  <c r="K5" i="2"/>
  <c r="K3" i="2"/>
  <c r="K2" i="2"/>
  <c r="L5" i="2"/>
  <c r="L4" i="2"/>
  <c r="L3" i="2"/>
  <c r="L2" i="2"/>
  <c r="D4" i="1"/>
  <c r="E4" i="1" s="1"/>
</calcChain>
</file>

<file path=xl/sharedStrings.xml><?xml version="1.0" encoding="utf-8"?>
<sst xmlns="http://schemas.openxmlformats.org/spreadsheetml/2006/main" count="437" uniqueCount="258">
  <si>
    <t>&lt;Shipment StatusCode="17" SellerOrganizationCode="TITAN_GCC" OrderNo="</t>
  </si>
  <si>
    <t>" ShipmentNo="</t>
  </si>
  <si>
    <t>" ShipNode="</t>
  </si>
  <si>
    <t>&lt;API FlowName="IBD_ReceiveStoreStatusUpdates"&gt;&lt;Input&gt;</t>
  </si>
  <si>
    <t>&lt;/Input&gt;&lt;/API&gt;</t>
  </si>
  <si>
    <t>" /&gt;</t>
  </si>
  <si>
    <t>Sales Order No</t>
  </si>
  <si>
    <t>Shipment ID</t>
  </si>
  <si>
    <t>Order Fulfilment </t>
  </si>
  <si>
    <t>00001921</t>
  </si>
  <si>
    <t>XDF</t>
  </si>
  <si>
    <t>00001824</t>
  </si>
  <si>
    <t>XDM</t>
  </si>
  <si>
    <t>00001977</t>
  </si>
  <si>
    <t>XAH</t>
  </si>
  <si>
    <t>00001834</t>
  </si>
  <si>
    <t>00001979</t>
  </si>
  <si>
    <t>XSL</t>
  </si>
  <si>
    <t>00001835</t>
  </si>
  <si>
    <t>XDS</t>
  </si>
  <si>
    <t>00001861</t>
  </si>
  <si>
    <t>XDK</t>
  </si>
  <si>
    <t>00001868</t>
  </si>
  <si>
    <t>Order No</t>
  </si>
  <si>
    <t>ShipmentNo</t>
  </si>
  <si>
    <t>ShipNode</t>
  </si>
  <si>
    <t>Seller Organization</t>
  </si>
  <si>
    <t>Item ID</t>
  </si>
  <si>
    <t>Final XML</t>
  </si>
  <si>
    <t>Action</t>
  </si>
  <si>
    <t>&lt;MultiApi&gt;</t>
  </si>
  <si>
    <t>XNJ</t>
  </si>
  <si>
    <t>TITAN_US</t>
  </si>
  <si>
    <t>UL1002SLZADA012BD000002</t>
  </si>
  <si>
    <t>Released to OMNIPOSS</t>
  </si>
  <si>
    <t>&lt;Shipment OrderNo="</t>
  </si>
  <si>
    <t>" SellerOrganizationCode="</t>
  </si>
  <si>
    <t>" StatusCode="0" /&gt;</t>
  </si>
  <si>
    <t>&lt;/MultiApi&gt;</t>
  </si>
  <si>
    <t>Downloaded at POSS</t>
  </si>
  <si>
    <t>" StatusCode="1" /&gt;</t>
  </si>
  <si>
    <t>Order Accepted</t>
  </si>
  <si>
    <t>" StatusCode="2" /&gt;</t>
  </si>
  <si>
    <t>Pack Update</t>
  </si>
  <si>
    <t>StatusCode="4" StatusDateTime=""&gt;
&lt;Containers&gt;
&lt;Container ContainerLength="15.25" ContainerWidth="10.35" ContainerHeight="12.50" ActualWeight="250.25"/&gt;
&lt;/Containers&gt;
&lt;/Shipment&gt;</t>
  </si>
  <si>
    <t>Invoice Update</t>
  </si>
  <si>
    <t>StatusDateTime="" StatusCode="19"&gt; 
&lt;ShipmentLines&gt;
&lt;ShipmentLine PrimeLineNo="1" ItemCode="</t>
  </si>
  <si>
    <t>" /&gt;
&lt;/ShipmentLines&gt;
&lt;/Shipment&gt;</t>
  </si>
  <si>
    <t>Shipped Update</t>
  </si>
  <si>
    <t>" StatusCode="5" /&gt;</t>
  </si>
  <si>
    <t>Delivered Update</t>
  </si>
  <si>
    <t>" StatusCode="17" /&gt;</t>
  </si>
  <si>
    <t>&lt;API FlowName="SFCC_KountStatusUpdate"&gt;		&lt;Input&gt;			&lt;Order OrderNo="</t>
  </si>
  <si>
    <t>Approved</t>
  </si>
  <si>
    <t>" EnterpriseCode="TITAN_US" DocumentType="0001" Override="Y"&gt;&lt;Extn ExtnKountStatus="</t>
  </si>
  <si>
    <t>"/&gt;&lt;OrderHoldTypes&gt;&lt;OrderHoldType HoldType="KOUNT_STATUS_HOLD" Status="1300"/&gt;&lt;/OrderHoldTypes&gt;&lt;/Order&gt;&lt;/Input&gt;&lt;/API&gt;</t>
  </si>
  <si>
    <t>Status</t>
  </si>
  <si>
    <t>XML</t>
  </si>
  <si>
    <t>US00029210</t>
  </si>
  <si>
    <t>US00029219</t>
  </si>
  <si>
    <t>US00029228</t>
  </si>
  <si>
    <t>Declined</t>
  </si>
  <si>
    <t>US00029282</t>
  </si>
  <si>
    <t>US00029247</t>
  </si>
  <si>
    <t>US00029293</t>
  </si>
  <si>
    <t>US00029558</t>
  </si>
  <si>
    <t>US00029494</t>
  </si>
  <si>
    <t>ITEM_CODE</t>
  </si>
  <si>
    <t>LOT_NUMBER</t>
  </si>
  <si>
    <t>BTQ_CODE</t>
  </si>
  <si>
    <t>Item_ID</t>
  </si>
  <si>
    <t>EPIOO42AQ1BAP1</t>
  </si>
  <si>
    <t>2EA000007</t>
  </si>
  <si>
    <t>EPD3I2CSJHAA00</t>
  </si>
  <si>
    <t>2JA000006</t>
  </si>
  <si>
    <t>XDB</t>
  </si>
  <si>
    <t>EP3919SJMABA00</t>
  </si>
  <si>
    <t>2EB000034</t>
  </si>
  <si>
    <t>EPG2J1CAVIAA00</t>
  </si>
  <si>
    <t>2EA000002</t>
  </si>
  <si>
    <t>EPIOO42AD1BAP1</t>
  </si>
  <si>
    <t>2EA000009</t>
  </si>
  <si>
    <t>EL4922FSJNAA02</t>
  </si>
  <si>
    <t>2JA000004</t>
  </si>
  <si>
    <t>XOR</t>
  </si>
  <si>
    <t>ELD4A1FIBLAA04</t>
  </si>
  <si>
    <t>2JA000001</t>
  </si>
  <si>
    <t>EPF2RDXAQAAAP1</t>
  </si>
  <si>
    <t>XQW</t>
  </si>
  <si>
    <t>ELD2P2SDZABA04</t>
  </si>
  <si>
    <t>2JD000001</t>
  </si>
  <si>
    <t>ELD3DTSKJAAA10</t>
  </si>
  <si>
    <t>EL1920FAXLAA00</t>
  </si>
  <si>
    <t>2JA000018</t>
  </si>
  <si>
    <t>X1A</t>
  </si>
  <si>
    <t>EL2995SPWABA02</t>
  </si>
  <si>
    <t>2JA000012</t>
  </si>
  <si>
    <t>EPIOO4FCVL2AP1</t>
  </si>
  <si>
    <t>2EA000025</t>
  </si>
  <si>
    <t>ELD3PTSZJAGA04</t>
  </si>
  <si>
    <t>EPO4C12BA1BA00</t>
  </si>
  <si>
    <t>2EA000005</t>
  </si>
  <si>
    <t>ELF2ZDBAHBAA00</t>
  </si>
  <si>
    <t>2EE000005</t>
  </si>
  <si>
    <t>EP2217CQKIAA00</t>
  </si>
  <si>
    <t>2JA000025</t>
  </si>
  <si>
    <t>ELO4EI2EJ1BAP4</t>
  </si>
  <si>
    <t>2BA000003</t>
  </si>
  <si>
    <t>X1C</t>
  </si>
  <si>
    <t>EPIOO4FCMLAAP1</t>
  </si>
  <si>
    <t>2EB000011</t>
  </si>
  <si>
    <t>EPIOO4FCSLAAP1</t>
  </si>
  <si>
    <t>2EA000027</t>
  </si>
  <si>
    <t>EL0013FEANAA08</t>
  </si>
  <si>
    <t>X1M</t>
  </si>
  <si>
    <t>ELUDP3DDMADA02</t>
  </si>
  <si>
    <t>3IH000005</t>
  </si>
  <si>
    <t>XKF</t>
  </si>
  <si>
    <t>EPD2A1DTQABA00</t>
  </si>
  <si>
    <t>2EB000006</t>
  </si>
  <si>
    <t>EP0162SDAABA00</t>
  </si>
  <si>
    <t>2JA000011</t>
  </si>
  <si>
    <t>EPIMS4BAJBAA00</t>
  </si>
  <si>
    <t>2JA000003</t>
  </si>
  <si>
    <t>EP2515SYTABA00</t>
  </si>
  <si>
    <t>2EA000019</t>
  </si>
  <si>
    <t>ELO3I22PVADA32</t>
  </si>
  <si>
    <t>2JA000008</t>
  </si>
  <si>
    <t>EPD4B2CBVGAA00</t>
  </si>
  <si>
    <t>2ED000001</t>
  </si>
  <si>
    <t>EL3017PGDAAA00</t>
  </si>
  <si>
    <t>2JA000007</t>
  </si>
  <si>
    <t>EP2313VICR1AP3</t>
  </si>
  <si>
    <t>2EB000002</t>
  </si>
  <si>
    <t>EP2219CUJGAA00</t>
  </si>
  <si>
    <t>2EA000010</t>
  </si>
  <si>
    <t>EP1048YJRGAA00</t>
  </si>
  <si>
    <t>2EA000020</t>
  </si>
  <si>
    <t>EPG3PLBBVAAA00</t>
  </si>
  <si>
    <t>2EA000003</t>
  </si>
  <si>
    <t>EPIOO4JDDABAP1</t>
  </si>
  <si>
    <t>2EA000012</t>
  </si>
  <si>
    <t>EP1419CDQIAA00</t>
  </si>
  <si>
    <t>2EA000011</t>
  </si>
  <si>
    <t>EL1053SATABM62</t>
  </si>
  <si>
    <t>3IH000001</t>
  </si>
  <si>
    <t>EL1002SAEADB02</t>
  </si>
  <si>
    <t>3IH000040</t>
  </si>
  <si>
    <t>EP7000VFBR2A00</t>
  </si>
  <si>
    <t>2EB000008</t>
  </si>
  <si>
    <t>EPD1SCSKMABA00</t>
  </si>
  <si>
    <t>EP2813FDJMAAP3</t>
  </si>
  <si>
    <t>2EB000018</t>
  </si>
  <si>
    <t>ECS3STFAKRA037</t>
  </si>
  <si>
    <t>ELD4MIPBKAAA04</t>
  </si>
  <si>
    <t>ELD3PTSZEAGA04</t>
  </si>
  <si>
    <t>2EA000006</t>
  </si>
  <si>
    <t>EPIOO4JCXABAP1</t>
  </si>
  <si>
    <t>2EB000013</t>
  </si>
  <si>
    <t>2EA000015</t>
  </si>
  <si>
    <t>EP2311FQJLAA00</t>
  </si>
  <si>
    <t>EPIOO42AN1BAP1</t>
  </si>
  <si>
    <t>EP2020VANP1AP3</t>
  </si>
  <si>
    <t>2EB000012</t>
  </si>
  <si>
    <t>EP1052DADABA00</t>
  </si>
  <si>
    <t>2JA000014</t>
  </si>
  <si>
    <t>XDG</t>
  </si>
  <si>
    <t>EP7000VBGR2A00</t>
  </si>
  <si>
    <t>2ED000011</t>
  </si>
  <si>
    <t>EPF2RDBADAAAP1</t>
  </si>
  <si>
    <t>2EE000006</t>
  </si>
  <si>
    <t>ELIMA3SDBADA02</t>
  </si>
  <si>
    <t>2JA000017</t>
  </si>
  <si>
    <t>EPIOO4DBYABA00</t>
  </si>
  <si>
    <t>2EB000005</t>
  </si>
  <si>
    <t>EL1518FCALAA00</t>
  </si>
  <si>
    <t>EL4118FAMMAA02</t>
  </si>
  <si>
    <t>2JD000005</t>
  </si>
  <si>
    <t>EPIMR4SGOABA00</t>
  </si>
  <si>
    <t>2EE000008</t>
  </si>
  <si>
    <t>EP3019VHDR2A00</t>
  </si>
  <si>
    <t>2EB000010</t>
  </si>
  <si>
    <t>EP1098FKDMAA00</t>
  </si>
  <si>
    <t>2JA000016</t>
  </si>
  <si>
    <t>2EA000016</t>
  </si>
  <si>
    <t>EP3515CHIFAA00</t>
  </si>
  <si>
    <t>EP0782CNAIAA00</t>
  </si>
  <si>
    <t>2EA000058</t>
  </si>
  <si>
    <t>ELS1D1YAPGAL61</t>
  </si>
  <si>
    <t>EPO2D1FCUMAAP1</t>
  </si>
  <si>
    <t>EPIOO4SCBABAP1</t>
  </si>
  <si>
    <t>EPIOO42AI1BAP1</t>
  </si>
  <si>
    <t>EP3220FIILAAP1</t>
  </si>
  <si>
    <t>2EB000004</t>
  </si>
  <si>
    <t>EP3518FCKMAA00</t>
  </si>
  <si>
    <t>EP11782OTABAP3</t>
  </si>
  <si>
    <t>EPIMR4HHRAAAP1</t>
  </si>
  <si>
    <t>2EE000003</t>
  </si>
  <si>
    <t>EP2411FDTNAA00</t>
  </si>
  <si>
    <t>2JA000009</t>
  </si>
  <si>
    <t>EL3220FVVSAA00</t>
  </si>
  <si>
    <t>2JA000005</t>
  </si>
  <si>
    <t>EPG2J1CAWKAA00</t>
  </si>
  <si>
    <t>EP2016DMOABA00</t>
  </si>
  <si>
    <t>2EB000016</t>
  </si>
  <si>
    <t>EL2614ODAABA04</t>
  </si>
  <si>
    <t>EPD3D2CKKIAA00</t>
  </si>
  <si>
    <t>EL2114FEJMAB02</t>
  </si>
  <si>
    <t>3IA000009</t>
  </si>
  <si>
    <t>EP6050FBULAA00</t>
  </si>
  <si>
    <t>ELD3DTSUIABA10</t>
  </si>
  <si>
    <t>ELD3I3SFEAAB02</t>
  </si>
  <si>
    <t>ELUDP3FCFMAA04</t>
  </si>
  <si>
    <t>3IH000006</t>
  </si>
  <si>
    <t>EL2821FSTLAA02</t>
  </si>
  <si>
    <t>2HD000006</t>
  </si>
  <si>
    <t>XKS</t>
  </si>
  <si>
    <t>EPIMR4PKHAAA00</t>
  </si>
  <si>
    <t>2EE000004</t>
  </si>
  <si>
    <t>ELO4B22PKABA02</t>
  </si>
  <si>
    <t>2JD000006</t>
  </si>
  <si>
    <t>EPIOO4FCWLAAP1</t>
  </si>
  <si>
    <t>2ED000017</t>
  </si>
  <si>
    <t>EPF1D1CPVKAA00</t>
  </si>
  <si>
    <t>ELD3D1SZHABA34</t>
  </si>
  <si>
    <t>2JA000013</t>
  </si>
  <si>
    <t>ELD3DTSKIAAA10</t>
  </si>
  <si>
    <t>EPT445CBAMAACZ</t>
  </si>
  <si>
    <t>ORGANIZATION_CODE</t>
  </si>
  <si>
    <t>Node</t>
  </si>
  <si>
    <t xml:space="preserve">ITEM_ID </t>
  </si>
  <si>
    <t>EXTN_ITEM_CODE</t>
  </si>
  <si>
    <t>EXTN_LOT_NO</t>
  </si>
  <si>
    <t>POSTING_CLASSIFICATION</t>
  </si>
  <si>
    <t>EXTN_PRODUCT_CODE</t>
  </si>
  <si>
    <t>Quantity</t>
  </si>
  <si>
    <t>&lt;API FlowName="IBD_UpdateInventory"&gt;&lt;Input&gt;&lt;InventorySnapShot InventoryFeedType="0" OrganizationCode="</t>
  </si>
  <si>
    <t>TITAN_GCC</t>
  </si>
  <si>
    <t>EP1036CTKWAA002JA000007</t>
  </si>
  <si>
    <t>EP1036CTKWAA00</t>
  </si>
  <si>
    <t>C</t>
  </si>
  <si>
    <t>"&gt;&lt;ShipNode ShipNode="</t>
  </si>
  <si>
    <t>EZ0102ZKCRAP002BL001618</t>
  </si>
  <si>
    <t>EZ0102ZKCRAP00</t>
  </si>
  <si>
    <t>2BL001618</t>
  </si>
  <si>
    <t>Z</t>
  </si>
  <si>
    <t>"&gt;&lt;Item ItemID="</t>
  </si>
  <si>
    <t>ELIDI3CDVGAA002EE000003</t>
  </si>
  <si>
    <t>ELIDI3CDVGAA00</t>
  </si>
  <si>
    <t>" LotNumber="</t>
  </si>
  <si>
    <t>EL3117FJOLAA042JA000002</t>
  </si>
  <si>
    <t>EL3117FJOLAA04</t>
  </si>
  <si>
    <t>2JA000002</t>
  </si>
  <si>
    <t>F</t>
  </si>
  <si>
    <t>" CFAProductCode="</t>
  </si>
  <si>
    <t>" ProductCode="</t>
  </si>
  <si>
    <t>"&gt;&lt;SupplyDetails Quantity="</t>
  </si>
  <si>
    <t>"/&gt;&lt;/Item&gt;&lt;/ShipNode&gt;&lt;/InventorySnapShot&gt;&lt;/Input&gt;&lt;/API&gt;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</si>
</sst>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92A2E"/>
      <name val="Atlassian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DDDEE1"/>
      </left>
      <right/>
      <top style="thin">
        <color rgb="FFDDDEE1"/>
      </top>
      <bottom/>
      <diagonal/>
    </border>
    <border>
      <left style="thin">
        <color rgb="FFDDDEE1"/>
      </left>
      <right style="thin">
        <color rgb="FFDDDEE1"/>
      </right>
      <top style="thin">
        <color rgb="FFDDDEE1"/>
      </top>
      <bottom/>
      <diagonal/>
    </border>
    <border>
      <left style="thin">
        <color rgb="FFDDDEE1"/>
      </left>
      <right/>
      <top style="thin">
        <color rgb="FFDDDEE1"/>
      </top>
      <bottom style="thin">
        <color rgb="FFDDDEE1"/>
      </bottom>
      <diagonal/>
    </border>
    <border>
      <left style="thin">
        <color rgb="FFDDDEE1"/>
      </left>
      <right style="thin">
        <color rgb="FFDDDEE1"/>
      </right>
      <top style="thin">
        <color rgb="FFDDDEE1"/>
      </top>
      <bottom style="thin">
        <color rgb="FFDDDEE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>
      <selection activeCell="C5" sqref="C5:C13"/>
    </sheetView>
  </sheetViews>
  <sheetFormatPr defaultRowHeight="15"/>
  <cols>
    <col min="1" max="1" width="14.140625" bestFit="1" customWidth="1"/>
    <col min="2" max="2" width="11.5703125" bestFit="1" customWidth="1"/>
    <col min="3" max="3" width="15.5703125" bestFit="1" customWidth="1"/>
    <col min="4" max="4" width="138" bestFit="1" customWidth="1"/>
    <col min="5" max="5" width="204.42578125" bestFit="1" customWidth="1"/>
  </cols>
  <sheetData>
    <row r="1" spans="1:5">
      <c r="A1" s="1" t="s">
        <v>0</v>
      </c>
      <c r="B1" s="1"/>
      <c r="C1" s="1"/>
    </row>
    <row r="2" spans="1:5">
      <c r="B2" t="s">
        <v>1</v>
      </c>
      <c r="C2" t="s">
        <v>2</v>
      </c>
      <c r="D2" t="s">
        <v>3</v>
      </c>
      <c r="E2" t="s">
        <v>4</v>
      </c>
    </row>
    <row r="3" spans="1:5">
      <c r="C3" t="s">
        <v>5</v>
      </c>
    </row>
    <row r="4" spans="1:5">
      <c r="A4" s="1" t="s">
        <v>6</v>
      </c>
      <c r="B4" t="s">
        <v>7</v>
      </c>
      <c r="C4" t="s">
        <v>8</v>
      </c>
      <c r="D4" t="str">
        <f>_xlfn.CONCAT($A$1,$A4, $B$2,$B4,$C$2,$C4,$C$3)</f>
        <v>&lt;Shipment StatusCode="17" SellerOrganizationCode="TITAN_GCC" OrderNo="Sales Order No" ShipmentNo="Shipment ID" ShipNode="Order Fulfilment " /&gt;</v>
      </c>
      <c r="E4" t="str">
        <f>_xlfn.CONCAT($D$2,$D4,$E$2)</f>
        <v>&lt;API FlowName="IBD_ReceiveStoreStatusUpdates"&gt;&lt;Input&gt;&lt;Shipment StatusCode="17" SellerOrganizationCode="TITAN_GCC" OrderNo="Sales Order No" ShipmentNo="Shipment ID" ShipNode="Order Fulfilment " /&gt;&lt;/Input&gt;&lt;/API&gt;</v>
      </c>
    </row>
    <row r="5" spans="1:5">
      <c r="A5" s="1" t="s">
        <v>9</v>
      </c>
      <c r="B5">
        <v>100004351</v>
      </c>
      <c r="C5" t="s">
        <v>10</v>
      </c>
      <c r="D5" t="str">
        <f t="shared" ref="D5:D13" si="0">_xlfn.CONCAT($A$1,$A5, $B$2,$B5,$C$2,$C5,$C$3)</f>
        <v>&lt;Shipment StatusCode="17" SellerOrganizationCode="TITAN_GCC" OrderNo="00001921" ShipmentNo="100004351" ShipNode="XDF" /&gt;</v>
      </c>
      <c r="E5" t="str">
        <f t="shared" ref="E5:E13" si="1">_xlfn.CONCAT($D$2,$D5,$E$2)</f>
        <v>&lt;API FlowName="IBD_ReceiveStoreStatusUpdates"&gt;&lt;Input&gt;&lt;Shipment StatusCode="17" SellerOrganizationCode="TITAN_GCC" OrderNo="00001921" ShipmentNo="100004351" ShipNode="XDF" /&gt;&lt;/Input&gt;&lt;/API&gt;</v>
      </c>
    </row>
    <row r="6" spans="1:5">
      <c r="A6" s="1" t="s">
        <v>11</v>
      </c>
      <c r="B6">
        <v>100004361</v>
      </c>
      <c r="C6" t="s">
        <v>12</v>
      </c>
      <c r="D6" t="str">
        <f t="shared" si="0"/>
        <v>&lt;Shipment StatusCode="17" SellerOrganizationCode="TITAN_GCC" OrderNo="00001824" ShipmentNo="100004361" ShipNode="XDM" /&gt;</v>
      </c>
      <c r="E6" t="str">
        <f t="shared" si="1"/>
        <v>&lt;API FlowName="IBD_ReceiveStoreStatusUpdates"&gt;&lt;Input&gt;&lt;Shipment StatusCode="17" SellerOrganizationCode="TITAN_GCC" OrderNo="00001824" ShipmentNo="100004361" ShipNode="XDM" /&gt;&lt;/Input&gt;&lt;/API&gt;</v>
      </c>
    </row>
    <row r="7" spans="1:5">
      <c r="A7" s="1" t="s">
        <v>11</v>
      </c>
      <c r="B7">
        <v>100004363</v>
      </c>
      <c r="C7" t="s">
        <v>10</v>
      </c>
      <c r="D7" t="str">
        <f t="shared" si="0"/>
        <v>&lt;Shipment StatusCode="17" SellerOrganizationCode="TITAN_GCC" OrderNo="00001824" ShipmentNo="100004363" ShipNode="XDF" /&gt;</v>
      </c>
      <c r="E7" t="str">
        <f t="shared" si="1"/>
        <v>&lt;API FlowName="IBD_ReceiveStoreStatusUpdates"&gt;&lt;Input&gt;&lt;Shipment StatusCode="17" SellerOrganizationCode="TITAN_GCC" OrderNo="00001824" ShipmentNo="100004363" ShipNode="XDF" /&gt;&lt;/Input&gt;&lt;/API&gt;</v>
      </c>
    </row>
    <row r="8" spans="1:5">
      <c r="A8" s="1" t="s">
        <v>13</v>
      </c>
      <c r="B8">
        <v>100004379</v>
      </c>
      <c r="C8" t="s">
        <v>14</v>
      </c>
      <c r="D8" t="str">
        <f t="shared" si="0"/>
        <v>&lt;Shipment StatusCode="17" SellerOrganizationCode="TITAN_GCC" OrderNo="00001977" ShipmentNo="100004379" ShipNode="XAH" /&gt;</v>
      </c>
      <c r="E8" t="str">
        <f t="shared" si="1"/>
        <v>&lt;API FlowName="IBD_ReceiveStoreStatusUpdates"&gt;&lt;Input&gt;&lt;Shipment StatusCode="17" SellerOrganizationCode="TITAN_GCC" OrderNo="00001977" ShipmentNo="100004379" ShipNode="XAH" /&gt;&lt;/Input&gt;&lt;/API&gt;</v>
      </c>
    </row>
    <row r="9" spans="1:5">
      <c r="A9" s="1" t="s">
        <v>15</v>
      </c>
      <c r="B9">
        <v>100004382</v>
      </c>
      <c r="C9" t="s">
        <v>10</v>
      </c>
      <c r="D9" t="str">
        <f t="shared" si="0"/>
        <v>&lt;Shipment StatusCode="17" SellerOrganizationCode="TITAN_GCC" OrderNo="00001834" ShipmentNo="100004382" ShipNode="XDF" /&gt;</v>
      </c>
      <c r="E9" t="str">
        <f t="shared" si="1"/>
        <v>&lt;API FlowName="IBD_ReceiveStoreStatusUpdates"&gt;&lt;Input&gt;&lt;Shipment StatusCode="17" SellerOrganizationCode="TITAN_GCC" OrderNo="00001834" ShipmentNo="100004382" ShipNode="XDF" /&gt;&lt;/Input&gt;&lt;/API&gt;</v>
      </c>
    </row>
    <row r="10" spans="1:5">
      <c r="A10" s="1" t="s">
        <v>16</v>
      </c>
      <c r="B10">
        <v>100004384</v>
      </c>
      <c r="C10" t="s">
        <v>17</v>
      </c>
      <c r="D10" t="str">
        <f t="shared" si="0"/>
        <v>&lt;Shipment StatusCode="17" SellerOrganizationCode="TITAN_GCC" OrderNo="00001979" ShipmentNo="100004384" ShipNode="XSL" /&gt;</v>
      </c>
      <c r="E10" t="str">
        <f t="shared" si="1"/>
        <v>&lt;API FlowName="IBD_ReceiveStoreStatusUpdates"&gt;&lt;Input&gt;&lt;Shipment StatusCode="17" SellerOrganizationCode="TITAN_GCC" OrderNo="00001979" ShipmentNo="100004384" ShipNode="XSL" /&gt;&lt;/Input&gt;&lt;/API&gt;</v>
      </c>
    </row>
    <row r="11" spans="1:5">
      <c r="A11" s="1" t="s">
        <v>18</v>
      </c>
      <c r="B11">
        <v>100004390</v>
      </c>
      <c r="C11" t="s">
        <v>19</v>
      </c>
      <c r="D11" t="str">
        <f t="shared" si="0"/>
        <v>&lt;Shipment StatusCode="17" SellerOrganizationCode="TITAN_GCC" OrderNo="00001835" ShipmentNo="100004390" ShipNode="XDS" /&gt;</v>
      </c>
      <c r="E11" t="str">
        <f t="shared" si="1"/>
        <v>&lt;API FlowName="IBD_ReceiveStoreStatusUpdates"&gt;&lt;Input&gt;&lt;Shipment StatusCode="17" SellerOrganizationCode="TITAN_GCC" OrderNo="00001835" ShipmentNo="100004390" ShipNode="XDS" /&gt;&lt;/Input&gt;&lt;/API&gt;</v>
      </c>
    </row>
    <row r="12" spans="1:5">
      <c r="A12" s="1" t="s">
        <v>20</v>
      </c>
      <c r="B12">
        <v>100004414</v>
      </c>
      <c r="C12" t="s">
        <v>21</v>
      </c>
      <c r="D12" t="str">
        <f t="shared" si="0"/>
        <v>&lt;Shipment StatusCode="17" SellerOrganizationCode="TITAN_GCC" OrderNo="00001861" ShipmentNo="100004414" ShipNode="XDK" /&gt;</v>
      </c>
      <c r="E12" t="str">
        <f t="shared" si="1"/>
        <v>&lt;API FlowName="IBD_ReceiveStoreStatusUpdates"&gt;&lt;Input&gt;&lt;Shipment StatusCode="17" SellerOrganizationCode="TITAN_GCC" OrderNo="00001861" ShipmentNo="100004414" ShipNode="XDK" /&gt;&lt;/Input&gt;&lt;/API&gt;</v>
      </c>
    </row>
    <row r="13" spans="1:5">
      <c r="A13" s="1" t="s">
        <v>22</v>
      </c>
      <c r="B13">
        <v>100004416</v>
      </c>
      <c r="C13" t="s">
        <v>17</v>
      </c>
      <c r="D13" t="str">
        <f t="shared" si="0"/>
        <v>&lt;Shipment StatusCode="17" SellerOrganizationCode="TITAN_GCC" OrderNo="00001868" ShipmentNo="100004416" ShipNode="XSL" /&gt;</v>
      </c>
      <c r="E13" t="str">
        <f t="shared" si="1"/>
        <v>&lt;API FlowName="IBD_ReceiveStoreStatusUpdates"&gt;&lt;Input&gt;&lt;Shipment StatusCode="17" SellerOrganizationCode="TITAN_GCC" OrderNo="00001868" ShipmentNo="100004416" ShipNode="XSL" /&gt;&lt;/Input&gt;&lt;/API&gt;</v>
      </c>
    </row>
    <row r="14" spans="1:5">
      <c r="A14" s="1"/>
    </row>
    <row r="15" spans="1:5">
      <c r="A15" s="1"/>
    </row>
    <row r="16" spans="1:5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9861-E151-4225-9F1E-20A8D0B54A3A}">
  <dimension ref="A1:AB8"/>
  <sheetViews>
    <sheetView workbookViewId="0">
      <selection activeCell="G3" sqref="G3"/>
    </sheetView>
  </sheetViews>
  <sheetFormatPr defaultRowHeight="15"/>
  <cols>
    <col min="1" max="1" width="8.85546875" bestFit="1" customWidth="1"/>
    <col min="2" max="2" width="11.85546875" bestFit="1" customWidth="1"/>
    <col min="3" max="3" width="9.5703125" bestFit="1" customWidth="1"/>
    <col min="4" max="4" width="17.5703125" bestFit="1" customWidth="1"/>
    <col min="5" max="5" width="27.42578125" bestFit="1" customWidth="1"/>
    <col min="7" max="7" width="9.28515625" bestFit="1" customWidth="1"/>
    <col min="10" max="10" width="22.140625" bestFit="1" customWidth="1"/>
    <col min="11" max="11" width="134.5703125" bestFit="1" customWidth="1"/>
    <col min="12" max="12" width="201.28515625" bestFit="1" customWidth="1"/>
    <col min="13" max="13" width="12.5703125" customWidth="1"/>
    <col min="14" max="14" width="20.28515625" bestFit="1" customWidth="1"/>
    <col min="15" max="15" width="14.85546875" bestFit="1" customWidth="1"/>
    <col min="16" max="16" width="12.42578125" customWidth="1"/>
    <col min="17" max="17" width="24.85546875" bestFit="1" customWidth="1"/>
    <col min="18" max="18" width="101.28515625" bestFit="1" customWidth="1"/>
    <col min="19" max="19" width="24.5703125" customWidth="1"/>
    <col min="27" max="27" width="11" bestFit="1" customWidth="1"/>
    <col min="31" max="31" width="9.28515625" customWidth="1"/>
  </cols>
  <sheetData>
    <row r="1" spans="1:28" ht="21">
      <c r="A1" t="s">
        <v>23</v>
      </c>
      <c r="B1" t="s">
        <v>24</v>
      </c>
      <c r="C1" t="s">
        <v>25</v>
      </c>
      <c r="D1" t="s">
        <v>26</v>
      </c>
      <c r="E1" t="s">
        <v>27</v>
      </c>
      <c r="G1" t="s">
        <v>28</v>
      </c>
      <c r="J1" s="3" t="s">
        <v>29</v>
      </c>
      <c r="AA1" t="s">
        <v>30</v>
      </c>
      <c r="AB1" t="s">
        <v>3</v>
      </c>
    </row>
    <row r="2" spans="1:28">
      <c r="A2">
        <v>110997</v>
      </c>
      <c r="B2">
        <v>100005720</v>
      </c>
      <c r="C2" t="s">
        <v>31</v>
      </c>
      <c r="D2" t="s">
        <v>32</v>
      </c>
      <c r="E2" t="s">
        <v>33</v>
      </c>
      <c r="G2" t="str">
        <f>_xlfn.CONCAT($AA$1,$K$2,$K$3,$K$4,$K$5,$K$6,$K$7,$K$8,$AA$2)</f>
        <v>&lt;MultiApi&gt;&lt;Shipment OrderNo="110997" ShipmentNo="100005720" ShipNode="XNJ" SellerOrganizationCode="TITAN_US" StatusCode="0" /&gt;&lt;Shipment OrderNo="110997" ShipmentNo="100005720" ShipNode="XNJ" SellerOrganizationCode="TITAN_US" StatusCode="1" /&gt;&lt;Shipment OrderNo="110997" ShipmentNo="100005720" ShipNode="XNJ" SellerOrganizationCode="TITAN_US" StatusCode="2" /&gt;&lt;Shipment OrderNo="110997" ShipmentNo="100005720" ShipNode="XNJ" SellerOrganizationCode="TITAN_USStatusCode="4" StatusDateTime=""&gt;
&lt;Containers&gt;
&lt;Container ContainerLength="15.25" ContainerWidth="10.35" ContainerHeight="12.50" ActualWeight="250.25"/&gt;
&lt;/Containers&gt;
&lt;/Shipment&gt;&lt;Shipment OrderNo="110997" ShipmentNo="100005720" ShipNode="XNJ" SellerOrganizationCode="TITAN_USStatusDateTime="" StatusCode="19"&gt; 
&lt;ShipmentLines&gt;
&lt;ShipmentLine PrimeLineNo="1" ItemCode="UL1002SLZADA012BD000002" /&gt;
&lt;/ShipmentLines&gt;
&lt;/Shipment&gt;&lt;Shipment OrderNo="110997" ShipmentNo="100005720" ShipNode="XNJ" SellerOrganizationCode="TITAN_US" StatusCode="5" /&gt;&lt;Shipment OrderNo="110997" ShipmentNo="100005720" ShipNode="XNJ" SellerOrganizationCode="TITAN_US" StatusCode="17" /&gt;&lt;/MultiApi&gt;</v>
      </c>
      <c r="J2" s="2" t="s">
        <v>34</v>
      </c>
      <c r="K2" t="str">
        <f>_xlfn.CONCAT($N$2,$A2,$O$2,$B2,$P$2,$C2,$Q$2,$D2,$R$2)</f>
        <v>&lt;Shipment OrderNo="110997" ShipmentNo="100005720" ShipNode="XNJ" SellerOrganizationCode="TITAN_US" StatusCode="0" /&gt;</v>
      </c>
      <c r="L2" t="str">
        <f>_xlfn.CONCAT($AB$1,$K2,$AB$2)</f>
        <v>&lt;API FlowName="IBD_ReceiveStoreStatusUpdates"&gt;&lt;Input&gt;&lt;Shipment OrderNo="110997" ShipmentNo="100005720" ShipNode="XNJ" SellerOrganizationCode="TITAN_US" StatusCode="0" /&gt;&lt;/Input&gt;&lt;/API&gt;</v>
      </c>
      <c r="N2" t="s">
        <v>35</v>
      </c>
      <c r="O2" t="s">
        <v>1</v>
      </c>
      <c r="P2" t="s">
        <v>2</v>
      </c>
      <c r="Q2" t="s">
        <v>36</v>
      </c>
      <c r="R2" t="s">
        <v>37</v>
      </c>
      <c r="AA2" t="s">
        <v>38</v>
      </c>
      <c r="AB2" t="s">
        <v>4</v>
      </c>
    </row>
    <row r="3" spans="1:28">
      <c r="J3" s="2" t="s">
        <v>39</v>
      </c>
      <c r="K3" t="str">
        <f>_xlfn.CONCAT($N$3,$A2,$O$3,$B2,$P$3,$C2,$Q$3,$D2,$R$3)</f>
        <v>&lt;Shipment OrderNo="110997" ShipmentNo="100005720" ShipNode="XNJ" SellerOrganizationCode="TITAN_US" StatusCode="1" /&gt;</v>
      </c>
      <c r="L3" t="str">
        <f>_xlfn.CONCAT($AB$1,$K3,$AB$2)</f>
        <v>&lt;API FlowName="IBD_ReceiveStoreStatusUpdates"&gt;&lt;Input&gt;&lt;Shipment OrderNo="110997" ShipmentNo="100005720" ShipNode="XNJ" SellerOrganizationCode="TITAN_US" StatusCode="1" /&gt;&lt;/Input&gt;&lt;/API&gt;</v>
      </c>
      <c r="N3" t="s">
        <v>35</v>
      </c>
      <c r="O3" t="s">
        <v>1</v>
      </c>
      <c r="P3" t="s">
        <v>2</v>
      </c>
      <c r="Q3" t="s">
        <v>36</v>
      </c>
      <c r="R3" t="s">
        <v>40</v>
      </c>
    </row>
    <row r="4" spans="1:28">
      <c r="J4" s="2" t="s">
        <v>41</v>
      </c>
      <c r="K4" t="str">
        <f>_xlfn.CONCAT($N$4,$A2,$O$4,$B2,$P$4,$C2,$Q$4,$D2,$R$4)</f>
        <v>&lt;Shipment OrderNo="110997" ShipmentNo="100005720" ShipNode="XNJ" SellerOrganizationCode="TITAN_US" StatusCode="2" /&gt;</v>
      </c>
      <c r="L4" t="str">
        <f>_xlfn.CONCAT($AB$1,$K4,$AB$2)</f>
        <v>&lt;API FlowName="IBD_ReceiveStoreStatusUpdates"&gt;&lt;Input&gt;&lt;Shipment OrderNo="110997" ShipmentNo="100005720" ShipNode="XNJ" SellerOrganizationCode="TITAN_US" StatusCode="2" /&gt;&lt;/Input&gt;&lt;/API&gt;</v>
      </c>
      <c r="N4" t="s">
        <v>35</v>
      </c>
      <c r="O4" t="s">
        <v>1</v>
      </c>
      <c r="P4" t="s">
        <v>2</v>
      </c>
      <c r="Q4" t="s">
        <v>36</v>
      </c>
      <c r="R4" t="s">
        <v>42</v>
      </c>
    </row>
    <row r="5" spans="1:28" ht="72.75">
      <c r="J5" s="2" t="s">
        <v>43</v>
      </c>
      <c r="K5" s="4" t="str">
        <f>_xlfn.CONCAT($N$5,$A2,$O$5,$B2,$P$5,$C2,$Q$5,$D2,$R$5)</f>
        <v>&lt;Shipment OrderNo="110997" ShipmentNo="100005720" ShipNode="XNJ" SellerOrganizationCode="TITAN_USStatusCode="4" StatusDateTime=""&gt;
&lt;Containers&gt;
&lt;Container ContainerLength="15.25" ContainerWidth="10.35" ContainerHeight="12.50" ActualWeight="250.25"/&gt;
&lt;/Containers&gt;
&lt;/Shipment&gt;</v>
      </c>
      <c r="L5" s="4" t="str">
        <f>_xlfn.CONCAT($AB$1,$K5,$AB$2)</f>
        <v>&lt;API FlowName="IBD_ReceiveStoreStatusUpdates"&gt;&lt;Input&gt;&lt;Shipment OrderNo="110997" ShipmentNo="100005720" ShipNode="XNJ" SellerOrganizationCode="TITAN_USStatusCode="4" StatusDateTime=""&gt;
&lt;Containers&gt;
&lt;Container ContainerLength="15.25" ContainerWidth="10.35" ContainerHeight="12.50" ActualWeight="250.25"/&gt;
&lt;/Containers&gt;
&lt;/Shipment&gt;&lt;/Input&gt;&lt;/API&gt;</v>
      </c>
      <c r="M5" s="4"/>
      <c r="N5" t="s">
        <v>35</v>
      </c>
      <c r="O5" t="s">
        <v>1</v>
      </c>
      <c r="P5" t="s">
        <v>2</v>
      </c>
      <c r="Q5" t="s">
        <v>36</v>
      </c>
      <c r="R5" s="4" t="s">
        <v>44</v>
      </c>
    </row>
    <row r="6" spans="1:28" ht="72.75">
      <c r="J6" s="2" t="s">
        <v>45</v>
      </c>
      <c r="K6" s="4" t="str">
        <f>_xlfn.CONCAT($N$6,$A2,$O$6,$B2,$P$6,$C2,$Q$6,$D2,$R$6,$E2,$S$6)</f>
        <v>&lt;Shipment OrderNo="110997" ShipmentNo="100005720" ShipNode="XNJ" SellerOrganizationCode="TITAN_USStatusDateTime="" StatusCode="19"&gt; 
&lt;ShipmentLines&gt;
&lt;ShipmentLine PrimeLineNo="1" ItemCode="UL1002SLZADA012BD000002" /&gt;
&lt;/ShipmentLines&gt;
&lt;/Shipment&gt;</v>
      </c>
      <c r="N6" t="s">
        <v>35</v>
      </c>
      <c r="O6" t="s">
        <v>1</v>
      </c>
      <c r="P6" t="s">
        <v>2</v>
      </c>
      <c r="Q6" t="s">
        <v>36</v>
      </c>
      <c r="R6" s="4" t="s">
        <v>46</v>
      </c>
      <c r="S6" s="4" t="s">
        <v>47</v>
      </c>
    </row>
    <row r="7" spans="1:28">
      <c r="J7" s="2" t="s">
        <v>48</v>
      </c>
      <c r="K7" t="str">
        <f>_xlfn.CONCAT($N$7,$A2,$O$7,$B2,$P$7,$C2,$Q$7,$D2,$R$7)</f>
        <v>&lt;Shipment OrderNo="110997" ShipmentNo="100005720" ShipNode="XNJ" SellerOrganizationCode="TITAN_US" StatusCode="5" /&gt;</v>
      </c>
      <c r="N7" t="s">
        <v>35</v>
      </c>
      <c r="O7" t="s">
        <v>1</v>
      </c>
      <c r="P7" t="s">
        <v>2</v>
      </c>
      <c r="Q7" t="s">
        <v>36</v>
      </c>
      <c r="R7" t="s">
        <v>49</v>
      </c>
    </row>
    <row r="8" spans="1:28">
      <c r="J8" s="2" t="s">
        <v>50</v>
      </c>
      <c r="K8" t="str">
        <f>_xlfn.CONCAT($N$8,$A2,$O$8,$B2,$P$8,$C2,$Q$8,$D2,$R$8)</f>
        <v>&lt;Shipment OrderNo="110997" ShipmentNo="100005720" ShipNode="XNJ" SellerOrganizationCode="TITAN_US" StatusCode="17" /&gt;</v>
      </c>
      <c r="N8" t="s">
        <v>35</v>
      </c>
      <c r="O8" t="s">
        <v>1</v>
      </c>
      <c r="P8" t="s">
        <v>2</v>
      </c>
      <c r="Q8" t="s">
        <v>36</v>
      </c>
      <c r="R8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B8D9-BE22-4517-AC8F-E04238D202EE}">
  <dimension ref="A1:C34"/>
  <sheetViews>
    <sheetView tabSelected="1" topLeftCell="A5" workbookViewId="0">
      <selection activeCell="C7" sqref="C7"/>
    </sheetView>
  </sheetViews>
  <sheetFormatPr defaultRowHeight="15"/>
  <cols>
    <col min="1" max="1" width="79.140625" customWidth="1"/>
    <col min="2" max="2" width="10.42578125" bestFit="1" customWidth="1"/>
    <col min="19" max="19" width="64.85546875" customWidth="1"/>
  </cols>
  <sheetData>
    <row r="1" spans="1:3">
      <c r="A1" t="s">
        <v>52</v>
      </c>
      <c r="C1" t="s">
        <v>53</v>
      </c>
    </row>
    <row r="2" spans="1:3">
      <c r="A2" s="4" t="s">
        <v>54</v>
      </c>
    </row>
    <row r="3" spans="1:3" ht="29.25">
      <c r="A3" s="4" t="s">
        <v>55</v>
      </c>
    </row>
    <row r="6" spans="1:3">
      <c r="A6" t="s">
        <v>23</v>
      </c>
      <c r="B6" t="s">
        <v>56</v>
      </c>
      <c r="C6" t="s">
        <v>57</v>
      </c>
    </row>
    <row r="7" spans="1:3">
      <c r="A7" s="6" t="s">
        <v>58</v>
      </c>
      <c r="B7" s="7" t="s">
        <v>53</v>
      </c>
      <c r="C7" t="str">
        <f>_xlfn.CONCAT($A$1,$A7,$A$2,$B7,$A$3)</f>
        <v>&lt;API FlowName="SFCC_KountStatusUpdate"&gt;		&lt;Input&gt;			&lt;Order OrderNo="US00029210" EnterpriseCode="TITAN_US" DocumentType="0001" Override="Y"&gt;&lt;Extn ExtnKountStatus="Approved"/&gt;&lt;OrderHoldTypes&gt;&lt;OrderHoldType HoldType="KOUNT_STATUS_HOLD" Status="1300"/&gt;&lt;/OrderHoldTypes&gt;&lt;/Order&gt;&lt;/Input&gt;&lt;/API&gt;</v>
      </c>
    </row>
    <row r="8" spans="1:3">
      <c r="A8" s="6" t="s">
        <v>59</v>
      </c>
      <c r="B8" s="7" t="s">
        <v>53</v>
      </c>
      <c r="C8" t="str">
        <f t="shared" ref="C8:C14" si="0">_xlfn.CONCAT($A$1,$A8,$A$2,$B8,$A$3)</f>
        <v>&lt;API FlowName="SFCC_KountStatusUpdate"&gt;		&lt;Input&gt;			&lt;Order OrderNo="US00029219" EnterpriseCode="TITAN_US" DocumentType="0001" Override="Y"&gt;&lt;Extn ExtnKountStatus="Approved"/&gt;&lt;OrderHoldTypes&gt;&lt;OrderHoldType HoldType="KOUNT_STATUS_HOLD" Status="1300"/&gt;&lt;/OrderHoldTypes&gt;&lt;/Order&gt;&lt;/Input&gt;&lt;/API&gt;</v>
      </c>
    </row>
    <row r="9" spans="1:3">
      <c r="A9" s="6" t="s">
        <v>60</v>
      </c>
      <c r="B9" s="7" t="s">
        <v>61</v>
      </c>
      <c r="C9" t="str">
        <f t="shared" si="0"/>
        <v>&lt;API FlowName="SFCC_KountStatusUpdate"&gt;		&lt;Input&gt;			&lt;Order OrderNo="US00029228" EnterpriseCode="TITAN_US" DocumentType="0001" Override="Y"&gt;&lt;Extn ExtnKountStatus="Declined"/&gt;&lt;OrderHoldTypes&gt;&lt;OrderHoldType HoldType="KOUNT_STATUS_HOLD" Status="1300"/&gt;&lt;/OrderHoldTypes&gt;&lt;/Order&gt;&lt;/Input&gt;&lt;/API&gt;</v>
      </c>
    </row>
    <row r="10" spans="1:3">
      <c r="A10" s="6" t="s">
        <v>62</v>
      </c>
      <c r="B10" s="7" t="s">
        <v>53</v>
      </c>
      <c r="C10" t="str">
        <f t="shared" si="0"/>
        <v>&lt;API FlowName="SFCC_KountStatusUpdate"&gt;		&lt;Input&gt;			&lt;Order OrderNo="US00029282" EnterpriseCode="TITAN_US" DocumentType="0001" Override="Y"&gt;&lt;Extn ExtnKountStatus="Approved"/&gt;&lt;OrderHoldTypes&gt;&lt;OrderHoldType HoldType="KOUNT_STATUS_HOLD" Status="1300"/&gt;&lt;/OrderHoldTypes&gt;&lt;/Order&gt;&lt;/Input&gt;&lt;/API&gt;</v>
      </c>
    </row>
    <row r="11" spans="1:3">
      <c r="A11" s="6" t="s">
        <v>63</v>
      </c>
      <c r="B11" s="7" t="s">
        <v>53</v>
      </c>
      <c r="C11" t="str">
        <f t="shared" si="0"/>
        <v>&lt;API FlowName="SFCC_KountStatusUpdate"&gt;		&lt;Input&gt;			&lt;Order OrderNo="US00029247" EnterpriseCode="TITAN_US" DocumentType="0001" Override="Y"&gt;&lt;Extn ExtnKountStatus="Approved"/&gt;&lt;OrderHoldTypes&gt;&lt;OrderHoldType HoldType="KOUNT_STATUS_HOLD" Status="1300"/&gt;&lt;/OrderHoldTypes&gt;&lt;/Order&gt;&lt;/Input&gt;&lt;/API&gt;</v>
      </c>
    </row>
    <row r="12" spans="1:3">
      <c r="A12" s="6" t="s">
        <v>64</v>
      </c>
      <c r="B12" s="7" t="s">
        <v>53</v>
      </c>
      <c r="C12" t="str">
        <f t="shared" si="0"/>
        <v>&lt;API FlowName="SFCC_KountStatusUpdate"&gt;		&lt;Input&gt;			&lt;Order OrderNo="US00029293" EnterpriseCode="TITAN_US" DocumentType="0001" Override="Y"&gt;&lt;Extn ExtnKountStatus="Approved"/&gt;&lt;OrderHoldTypes&gt;&lt;OrderHoldType HoldType="KOUNT_STATUS_HOLD" Status="1300"/&gt;&lt;/OrderHoldTypes&gt;&lt;/Order&gt;&lt;/Input&gt;&lt;/API&gt;</v>
      </c>
    </row>
    <row r="13" spans="1:3">
      <c r="A13" s="6" t="s">
        <v>65</v>
      </c>
      <c r="B13" s="7" t="s">
        <v>53</v>
      </c>
      <c r="C13" t="str">
        <f t="shared" si="0"/>
        <v>&lt;API FlowName="SFCC_KountStatusUpdate"&gt;		&lt;Input&gt;			&lt;Order OrderNo="US00029558" EnterpriseCode="TITAN_US" DocumentType="0001" Override="Y"&gt;&lt;Extn ExtnKountStatus="Approved"/&gt;&lt;OrderHoldTypes&gt;&lt;OrderHoldType HoldType="KOUNT_STATUS_HOLD" Status="1300"/&gt;&lt;/OrderHoldTypes&gt;&lt;/Order&gt;&lt;/Input&gt;&lt;/API&gt;</v>
      </c>
    </row>
    <row r="14" spans="1:3">
      <c r="A14" s="8" t="s">
        <v>66</v>
      </c>
      <c r="B14" s="9" t="s">
        <v>53</v>
      </c>
      <c r="C14" t="str">
        <f t="shared" si="0"/>
        <v>&lt;API FlowName="SFCC_KountStatusUpdate"&gt;		&lt;Input&gt;			&lt;Order OrderNo="US00029494" EnterpriseCode="TITAN_US" DocumentType="0001" Override="Y"&gt;&lt;Extn ExtnKountStatus="Approved"/&gt;&lt;OrderHoldTypes&gt;&lt;OrderHoldType HoldType="KOUNT_STATUS_HOLD" Status="1300"/&gt;&lt;/OrderHoldTypes&gt;&lt;/Order&gt;&lt;/Input&gt;&lt;/API&gt;</v>
      </c>
    </row>
    <row r="15" spans="1:3">
      <c r="A15" s="6"/>
      <c r="B15" s="7"/>
    </row>
    <row r="16" spans="1:3">
      <c r="A16" s="6"/>
      <c r="B16" s="7"/>
    </row>
    <row r="17" spans="1:2">
      <c r="A17" s="6"/>
      <c r="B17" s="7"/>
    </row>
    <row r="18" spans="1:2">
      <c r="A18" s="6"/>
      <c r="B18" s="7"/>
    </row>
    <row r="19" spans="1:2">
      <c r="A19" s="8"/>
      <c r="B19" s="9"/>
    </row>
    <row r="20" spans="1:2">
      <c r="A20" s="8"/>
      <c r="B20" s="9"/>
    </row>
    <row r="21" spans="1:2">
      <c r="A21" s="6"/>
      <c r="B21" s="7"/>
    </row>
    <row r="22" spans="1:2">
      <c r="A22" s="6"/>
      <c r="B22" s="7"/>
    </row>
    <row r="23" spans="1:2">
      <c r="A23" s="6"/>
      <c r="B23" s="7"/>
    </row>
    <row r="24" spans="1:2">
      <c r="A24" s="6"/>
      <c r="B24" s="7"/>
    </row>
    <row r="25" spans="1:2">
      <c r="A25" s="6"/>
      <c r="B25" s="7"/>
    </row>
    <row r="26" spans="1:2">
      <c r="A26" s="6"/>
      <c r="B26" s="7"/>
    </row>
    <row r="27" spans="1:2">
      <c r="A27" s="6"/>
      <c r="B27" s="7"/>
    </row>
    <row r="28" spans="1:2">
      <c r="A28" s="6"/>
      <c r="B28" s="7"/>
    </row>
    <row r="29" spans="1:2">
      <c r="A29" s="6"/>
      <c r="B29" s="7"/>
    </row>
    <row r="30" spans="1:2">
      <c r="A30" s="6"/>
      <c r="B30" s="7"/>
    </row>
    <row r="31" spans="1:2">
      <c r="A31" s="6"/>
      <c r="B31" s="7"/>
    </row>
    <row r="32" spans="1:2">
      <c r="A32" s="6"/>
      <c r="B32" s="7"/>
    </row>
    <row r="33" spans="1:2">
      <c r="A33" s="6"/>
      <c r="B33" s="7"/>
    </row>
    <row r="34" spans="1:2">
      <c r="A34" s="8"/>
      <c r="B34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68B3-F4C8-4B52-9DE4-4B2D38230F0F}">
  <dimension ref="A1:F96"/>
  <sheetViews>
    <sheetView workbookViewId="0">
      <selection activeCell="A2" sqref="A2"/>
    </sheetView>
  </sheetViews>
  <sheetFormatPr defaultRowHeight="15"/>
  <cols>
    <col min="1" max="1" width="12" bestFit="1" customWidth="1"/>
    <col min="2" max="2" width="13.7109375" bestFit="1" customWidth="1"/>
    <col min="3" max="3" width="12" bestFit="1" customWidth="1"/>
    <col min="4" max="4" width="28.5703125" bestFit="1" customWidth="1"/>
    <col min="5" max="5" width="20.85546875" bestFit="1" customWidth="1"/>
  </cols>
  <sheetData>
    <row r="1" spans="1:6">
      <c r="A1" s="5" t="s">
        <v>67</v>
      </c>
      <c r="B1" s="5" t="s">
        <v>68</v>
      </c>
      <c r="C1" s="5" t="s">
        <v>69</v>
      </c>
      <c r="D1" t="s">
        <v>70</v>
      </c>
      <c r="E1" s="1"/>
      <c r="F1" s="1"/>
    </row>
    <row r="2" spans="1:6">
      <c r="A2" s="5" t="s">
        <v>71</v>
      </c>
      <c r="B2" s="5" t="s">
        <v>72</v>
      </c>
      <c r="C2" s="5" t="s">
        <v>19</v>
      </c>
      <c r="D2" t="str">
        <f>_xlfn.CONCAT(TRIM($A2),TRIM($B2))</f>
        <v>EPIOO42AQ1BAP12EA000007</v>
      </c>
      <c r="E2" s="1"/>
    </row>
    <row r="3" spans="1:6">
      <c r="A3" s="5" t="s">
        <v>73</v>
      </c>
      <c r="B3" s="5" t="s">
        <v>74</v>
      </c>
      <c r="C3" s="5" t="s">
        <v>75</v>
      </c>
      <c r="D3" t="str">
        <f t="shared" ref="D3:D66" si="0">_xlfn.CONCAT(TRIM($A3),TRIM($B3))</f>
        <v>EPD3I2CSJHAA002JA000006</v>
      </c>
      <c r="E3" s="1"/>
    </row>
    <row r="4" spans="1:6">
      <c r="A4" s="5" t="s">
        <v>76</v>
      </c>
      <c r="B4" s="5" t="s">
        <v>77</v>
      </c>
      <c r="C4" s="5" t="s">
        <v>10</v>
      </c>
      <c r="D4" t="str">
        <f t="shared" si="0"/>
        <v>EP3919SJMABA002EB000034</v>
      </c>
      <c r="E4" s="1"/>
    </row>
    <row r="5" spans="1:6">
      <c r="A5" s="5" t="s">
        <v>78</v>
      </c>
      <c r="B5" s="5" t="s">
        <v>79</v>
      </c>
      <c r="C5" s="5" t="s">
        <v>75</v>
      </c>
      <c r="D5" t="str">
        <f t="shared" si="0"/>
        <v>EPG2J1CAVIAA002EA000002</v>
      </c>
    </row>
    <row r="6" spans="1:6">
      <c r="A6" s="5" t="s">
        <v>80</v>
      </c>
      <c r="B6" s="5" t="s">
        <v>81</v>
      </c>
      <c r="C6" s="5" t="s">
        <v>14</v>
      </c>
      <c r="D6" t="str">
        <f t="shared" si="0"/>
        <v>EPIOO42AD1BAP12EA000009</v>
      </c>
    </row>
    <row r="7" spans="1:6">
      <c r="A7" s="5" t="s">
        <v>82</v>
      </c>
      <c r="B7" s="5" t="s">
        <v>83</v>
      </c>
      <c r="C7" s="5" t="s">
        <v>84</v>
      </c>
      <c r="D7" t="str">
        <f t="shared" si="0"/>
        <v>EL4922FSJNAA022JA000004</v>
      </c>
    </row>
    <row r="8" spans="1:6">
      <c r="A8" s="5" t="s">
        <v>85</v>
      </c>
      <c r="B8" s="5" t="s">
        <v>86</v>
      </c>
      <c r="C8" s="5" t="s">
        <v>10</v>
      </c>
      <c r="D8" t="str">
        <f t="shared" si="0"/>
        <v>ELD4A1FIBLAA042JA000001</v>
      </c>
    </row>
    <row r="9" spans="1:6">
      <c r="A9" s="5" t="s">
        <v>87</v>
      </c>
      <c r="B9" s="5" t="s">
        <v>72</v>
      </c>
      <c r="C9" s="5" t="s">
        <v>75</v>
      </c>
      <c r="D9" t="str">
        <f t="shared" si="0"/>
        <v>EPF2RDXAQAAAP12EA000007</v>
      </c>
    </row>
    <row r="10" spans="1:6">
      <c r="A10" s="5" t="s">
        <v>87</v>
      </c>
      <c r="B10" s="5" t="s">
        <v>72</v>
      </c>
      <c r="C10" s="5" t="s">
        <v>88</v>
      </c>
      <c r="D10" t="str">
        <f t="shared" si="0"/>
        <v>EPF2RDXAQAAAP12EA000007</v>
      </c>
    </row>
    <row r="11" spans="1:6">
      <c r="A11" s="5" t="s">
        <v>89</v>
      </c>
      <c r="B11" s="5" t="s">
        <v>90</v>
      </c>
      <c r="C11" s="5" t="s">
        <v>10</v>
      </c>
      <c r="D11" t="str">
        <f t="shared" si="0"/>
        <v>ELD2P2SDZABA042JD000001</v>
      </c>
    </row>
    <row r="12" spans="1:6">
      <c r="A12" s="5" t="s">
        <v>91</v>
      </c>
      <c r="B12" s="5" t="s">
        <v>90</v>
      </c>
      <c r="C12" s="5" t="s">
        <v>10</v>
      </c>
      <c r="D12" t="str">
        <f t="shared" si="0"/>
        <v>ELD3DTSKJAAA102JD000001</v>
      </c>
    </row>
    <row r="13" spans="1:6">
      <c r="A13" s="5" t="s">
        <v>92</v>
      </c>
      <c r="B13" s="5" t="s">
        <v>93</v>
      </c>
      <c r="C13" s="5" t="s">
        <v>94</v>
      </c>
      <c r="D13" t="str">
        <f t="shared" si="0"/>
        <v>EL1920FAXLAA002JA000018</v>
      </c>
    </row>
    <row r="14" spans="1:6">
      <c r="A14" s="5" t="s">
        <v>95</v>
      </c>
      <c r="B14" s="5" t="s">
        <v>96</v>
      </c>
      <c r="C14" s="5" t="s">
        <v>75</v>
      </c>
      <c r="D14" t="str">
        <f t="shared" si="0"/>
        <v>EL2995SPWABA022JA000012</v>
      </c>
    </row>
    <row r="15" spans="1:6">
      <c r="A15" s="5" t="s">
        <v>97</v>
      </c>
      <c r="B15" s="5" t="s">
        <v>98</v>
      </c>
      <c r="C15" s="5" t="s">
        <v>75</v>
      </c>
      <c r="D15" t="str">
        <f t="shared" si="0"/>
        <v>EPIOO4FCVL2AP12EA000025</v>
      </c>
    </row>
    <row r="16" spans="1:6">
      <c r="A16" s="5" t="s">
        <v>99</v>
      </c>
      <c r="B16" s="5" t="s">
        <v>90</v>
      </c>
      <c r="C16" s="5" t="s">
        <v>21</v>
      </c>
      <c r="D16" t="str">
        <f t="shared" si="0"/>
        <v>ELD3PTSZJAGA042JD000001</v>
      </c>
    </row>
    <row r="17" spans="1:4">
      <c r="A17" s="5" t="s">
        <v>100</v>
      </c>
      <c r="B17" s="5" t="s">
        <v>101</v>
      </c>
      <c r="C17" s="5" t="s">
        <v>10</v>
      </c>
      <c r="D17" t="str">
        <f t="shared" si="0"/>
        <v>EPO4C12BA1BA002EA000005</v>
      </c>
    </row>
    <row r="18" spans="1:4">
      <c r="A18" s="5" t="s">
        <v>102</v>
      </c>
      <c r="B18" s="5" t="s">
        <v>103</v>
      </c>
      <c r="C18" s="5" t="s">
        <v>10</v>
      </c>
      <c r="D18" t="str">
        <f t="shared" si="0"/>
        <v>ELF2ZDBAHBAA002EE000005</v>
      </c>
    </row>
    <row r="19" spans="1:4">
      <c r="A19" s="5" t="s">
        <v>104</v>
      </c>
      <c r="B19" s="5" t="s">
        <v>105</v>
      </c>
      <c r="C19" s="5" t="s">
        <v>10</v>
      </c>
      <c r="D19" t="str">
        <f t="shared" si="0"/>
        <v>EP2217CQKIAA002JA000025</v>
      </c>
    </row>
    <row r="20" spans="1:4">
      <c r="A20" s="5" t="s">
        <v>106</v>
      </c>
      <c r="B20" s="5" t="s">
        <v>107</v>
      </c>
      <c r="C20" s="5" t="s">
        <v>108</v>
      </c>
      <c r="D20" t="str">
        <f t="shared" si="0"/>
        <v>ELO4EI2EJ1BAP42BA000003</v>
      </c>
    </row>
    <row r="21" spans="1:4">
      <c r="A21" s="5" t="s">
        <v>109</v>
      </c>
      <c r="B21" s="5" t="s">
        <v>110</v>
      </c>
      <c r="C21" s="5" t="s">
        <v>10</v>
      </c>
      <c r="D21" t="str">
        <f t="shared" si="0"/>
        <v>EPIOO4FCMLAAP12EB000011</v>
      </c>
    </row>
    <row r="22" spans="1:4">
      <c r="A22" s="5" t="s">
        <v>111</v>
      </c>
      <c r="B22" s="5" t="s">
        <v>112</v>
      </c>
      <c r="C22" s="5" t="s">
        <v>75</v>
      </c>
      <c r="D22" t="str">
        <f t="shared" si="0"/>
        <v>EPIOO4FCSLAAP12EA000027</v>
      </c>
    </row>
    <row r="23" spans="1:4">
      <c r="A23" s="5" t="s">
        <v>113</v>
      </c>
      <c r="B23" s="5" t="s">
        <v>86</v>
      </c>
      <c r="C23" s="5" t="s">
        <v>114</v>
      </c>
      <c r="D23" t="str">
        <f t="shared" si="0"/>
        <v>EL0013FEANAA082JA000001</v>
      </c>
    </row>
    <row r="24" spans="1:4">
      <c r="A24" s="5" t="s">
        <v>115</v>
      </c>
      <c r="B24" s="5" t="s">
        <v>116</v>
      </c>
      <c r="C24" s="5" t="s">
        <v>117</v>
      </c>
      <c r="D24" t="str">
        <f t="shared" si="0"/>
        <v>ELUDP3DDMADA023IH000005</v>
      </c>
    </row>
    <row r="25" spans="1:4">
      <c r="A25" s="5" t="s">
        <v>118</v>
      </c>
      <c r="B25" s="5" t="s">
        <v>119</v>
      </c>
      <c r="C25" s="5" t="s">
        <v>19</v>
      </c>
      <c r="D25" t="str">
        <f t="shared" si="0"/>
        <v>EPD2A1DTQABA002EB000006</v>
      </c>
    </row>
    <row r="26" spans="1:4">
      <c r="A26" s="5" t="s">
        <v>120</v>
      </c>
      <c r="B26" s="5" t="s">
        <v>121</v>
      </c>
      <c r="C26" s="5" t="s">
        <v>75</v>
      </c>
      <c r="D26" t="str">
        <f t="shared" si="0"/>
        <v>EP0162SDAABA002JA000011</v>
      </c>
    </row>
    <row r="27" spans="1:4">
      <c r="A27" s="5" t="s">
        <v>122</v>
      </c>
      <c r="B27" s="5" t="s">
        <v>123</v>
      </c>
      <c r="C27" s="5" t="s">
        <v>75</v>
      </c>
      <c r="D27" t="str">
        <f t="shared" si="0"/>
        <v>EPIMS4BAJBAA002JA000003</v>
      </c>
    </row>
    <row r="28" spans="1:4">
      <c r="A28" s="5" t="s">
        <v>124</v>
      </c>
      <c r="B28" s="5" t="s">
        <v>125</v>
      </c>
      <c r="C28" s="5" t="s">
        <v>10</v>
      </c>
      <c r="D28" t="str">
        <f t="shared" si="0"/>
        <v>EP2515SYTABA002EA000019</v>
      </c>
    </row>
    <row r="29" spans="1:4">
      <c r="A29" s="5" t="s">
        <v>126</v>
      </c>
      <c r="B29" s="5" t="s">
        <v>127</v>
      </c>
      <c r="C29" s="5" t="s">
        <v>10</v>
      </c>
      <c r="D29" t="str">
        <f t="shared" si="0"/>
        <v>ELO3I22PVADA322JA000008</v>
      </c>
    </row>
    <row r="30" spans="1:4">
      <c r="A30" s="5" t="s">
        <v>128</v>
      </c>
      <c r="B30" s="5" t="s">
        <v>129</v>
      </c>
      <c r="C30" s="5" t="s">
        <v>10</v>
      </c>
      <c r="D30" t="str">
        <f t="shared" si="0"/>
        <v>EPD4B2CBVGAA002ED000001</v>
      </c>
    </row>
    <row r="31" spans="1:4">
      <c r="A31" s="5" t="s">
        <v>130</v>
      </c>
      <c r="B31" s="5" t="s">
        <v>131</v>
      </c>
      <c r="C31" s="5" t="s">
        <v>10</v>
      </c>
      <c r="D31" t="str">
        <f t="shared" si="0"/>
        <v>EL3017PGDAAA002JA000007</v>
      </c>
    </row>
    <row r="32" spans="1:4">
      <c r="A32" s="5" t="s">
        <v>132</v>
      </c>
      <c r="B32" s="5" t="s">
        <v>133</v>
      </c>
      <c r="C32" s="5" t="s">
        <v>10</v>
      </c>
      <c r="D32" t="str">
        <f t="shared" si="0"/>
        <v>EP2313VICR1AP32EB000002</v>
      </c>
    </row>
    <row r="33" spans="1:4">
      <c r="A33" s="5" t="s">
        <v>134</v>
      </c>
      <c r="B33" s="5" t="s">
        <v>135</v>
      </c>
      <c r="C33" s="5" t="s">
        <v>10</v>
      </c>
      <c r="D33" t="str">
        <f t="shared" si="0"/>
        <v>EP2219CUJGAA002EA000010</v>
      </c>
    </row>
    <row r="34" spans="1:4">
      <c r="A34" s="5" t="s">
        <v>136</v>
      </c>
      <c r="B34" s="5" t="s">
        <v>137</v>
      </c>
      <c r="C34" s="5" t="s">
        <v>10</v>
      </c>
      <c r="D34" t="str">
        <f t="shared" si="0"/>
        <v>EP1048YJRGAA002EA000020</v>
      </c>
    </row>
    <row r="35" spans="1:4">
      <c r="A35" s="5" t="s">
        <v>138</v>
      </c>
      <c r="B35" s="5" t="s">
        <v>139</v>
      </c>
      <c r="C35" s="5" t="s">
        <v>10</v>
      </c>
      <c r="D35" t="str">
        <f t="shared" si="0"/>
        <v>EPG3PLBBVAAA002EA000003</v>
      </c>
    </row>
    <row r="36" spans="1:4">
      <c r="A36" s="5" t="s">
        <v>140</v>
      </c>
      <c r="B36" s="5" t="s">
        <v>141</v>
      </c>
      <c r="C36" s="5" t="s">
        <v>10</v>
      </c>
      <c r="D36" t="str">
        <f t="shared" si="0"/>
        <v>EPIOO4JDDABAP12EA000012</v>
      </c>
    </row>
    <row r="37" spans="1:4">
      <c r="A37" s="5" t="s">
        <v>142</v>
      </c>
      <c r="B37" s="5" t="s">
        <v>143</v>
      </c>
      <c r="C37" s="5" t="s">
        <v>10</v>
      </c>
      <c r="D37" t="str">
        <f t="shared" si="0"/>
        <v>EP1419CDQIAA002EA000011</v>
      </c>
    </row>
    <row r="38" spans="1:4">
      <c r="A38" s="5" t="s">
        <v>144</v>
      </c>
      <c r="B38" s="5" t="s">
        <v>145</v>
      </c>
      <c r="C38" s="5" t="s">
        <v>75</v>
      </c>
      <c r="D38" t="str">
        <f t="shared" si="0"/>
        <v>EL1053SATABM623IH000001</v>
      </c>
    </row>
    <row r="39" spans="1:4">
      <c r="A39" s="5" t="s">
        <v>146</v>
      </c>
      <c r="B39" s="5" t="s">
        <v>147</v>
      </c>
      <c r="C39" s="5" t="s">
        <v>17</v>
      </c>
      <c r="D39" t="str">
        <f t="shared" si="0"/>
        <v>EL1002SAEADB023IH000040</v>
      </c>
    </row>
    <row r="40" spans="1:4">
      <c r="A40" s="5" t="s">
        <v>146</v>
      </c>
      <c r="B40" s="5" t="s">
        <v>147</v>
      </c>
      <c r="C40" s="5" t="s">
        <v>14</v>
      </c>
      <c r="D40" t="str">
        <f t="shared" si="0"/>
        <v>EL1002SAEADB023IH000040</v>
      </c>
    </row>
    <row r="41" spans="1:4">
      <c r="A41" s="5" t="s">
        <v>148</v>
      </c>
      <c r="B41" s="5" t="s">
        <v>149</v>
      </c>
      <c r="C41" s="5" t="s">
        <v>10</v>
      </c>
      <c r="D41" t="str">
        <f t="shared" si="0"/>
        <v>EP7000VFBR2A002EB000008</v>
      </c>
    </row>
    <row r="42" spans="1:4">
      <c r="A42" s="5" t="s">
        <v>150</v>
      </c>
      <c r="B42" s="5" t="s">
        <v>101</v>
      </c>
      <c r="C42" s="5" t="s">
        <v>10</v>
      </c>
      <c r="D42" t="str">
        <f t="shared" si="0"/>
        <v>EPD1SCSKMABA002EA000005</v>
      </c>
    </row>
    <row r="43" spans="1:4">
      <c r="A43" s="5" t="s">
        <v>151</v>
      </c>
      <c r="B43" s="5" t="s">
        <v>152</v>
      </c>
      <c r="C43" s="5" t="s">
        <v>19</v>
      </c>
      <c r="D43" t="str">
        <f t="shared" si="0"/>
        <v>EP2813FDJMAAP32EB000018</v>
      </c>
    </row>
    <row r="44" spans="1:4">
      <c r="A44" s="5" t="s">
        <v>153</v>
      </c>
      <c r="B44" s="5" t="s">
        <v>145</v>
      </c>
      <c r="C44" s="5" t="s">
        <v>14</v>
      </c>
      <c r="D44" t="str">
        <f t="shared" si="0"/>
        <v>ECS3STFAKRA0373IH000001</v>
      </c>
    </row>
    <row r="45" spans="1:4">
      <c r="A45" s="5" t="s">
        <v>154</v>
      </c>
      <c r="B45" s="5" t="s">
        <v>86</v>
      </c>
      <c r="C45" s="5" t="s">
        <v>10</v>
      </c>
      <c r="D45" t="str">
        <f t="shared" si="0"/>
        <v>ELD4MIPBKAAA042JA000001</v>
      </c>
    </row>
    <row r="46" spans="1:4">
      <c r="A46" s="5" t="s">
        <v>155</v>
      </c>
      <c r="B46" s="5" t="s">
        <v>90</v>
      </c>
      <c r="C46" s="5" t="s">
        <v>10</v>
      </c>
      <c r="D46" t="str">
        <f t="shared" si="0"/>
        <v>ELD3PTSZEAGA042JD000001</v>
      </c>
    </row>
    <row r="47" spans="1:4">
      <c r="A47" s="5" t="s">
        <v>140</v>
      </c>
      <c r="B47" s="5" t="s">
        <v>156</v>
      </c>
      <c r="C47" s="5" t="s">
        <v>19</v>
      </c>
      <c r="D47" t="str">
        <f t="shared" si="0"/>
        <v>EPIOO4JDDABAP12EA000006</v>
      </c>
    </row>
    <row r="48" spans="1:4">
      <c r="A48" s="5" t="s">
        <v>157</v>
      </c>
      <c r="B48" s="5" t="s">
        <v>158</v>
      </c>
      <c r="C48" s="5" t="s">
        <v>10</v>
      </c>
      <c r="D48" t="str">
        <f t="shared" si="0"/>
        <v>EPIOO4JCXABAP12EB000013</v>
      </c>
    </row>
    <row r="49" spans="1:4">
      <c r="A49" s="5" t="s">
        <v>97</v>
      </c>
      <c r="B49" s="5" t="s">
        <v>159</v>
      </c>
      <c r="C49" s="5" t="s">
        <v>10</v>
      </c>
      <c r="D49" t="str">
        <f t="shared" si="0"/>
        <v>EPIOO4FCVL2AP12EA000015</v>
      </c>
    </row>
    <row r="50" spans="1:4">
      <c r="A50" s="5" t="s">
        <v>160</v>
      </c>
      <c r="B50" s="5" t="s">
        <v>101</v>
      </c>
      <c r="C50" s="5" t="s">
        <v>75</v>
      </c>
      <c r="D50" t="str">
        <f t="shared" si="0"/>
        <v>EP2311FQJLAA002EA000005</v>
      </c>
    </row>
    <row r="51" spans="1:4">
      <c r="A51" s="5" t="s">
        <v>161</v>
      </c>
      <c r="B51" s="5" t="s">
        <v>143</v>
      </c>
      <c r="C51" s="5" t="s">
        <v>14</v>
      </c>
      <c r="D51" t="str">
        <f t="shared" si="0"/>
        <v>EPIOO42AN1BAP12EA000011</v>
      </c>
    </row>
    <row r="52" spans="1:4">
      <c r="A52" s="5" t="s">
        <v>162</v>
      </c>
      <c r="B52" s="5" t="s">
        <v>163</v>
      </c>
      <c r="C52" s="5" t="s">
        <v>10</v>
      </c>
      <c r="D52" t="str">
        <f t="shared" si="0"/>
        <v>EP2020VANP1AP32EB000012</v>
      </c>
    </row>
    <row r="53" spans="1:4">
      <c r="A53" s="5" t="s">
        <v>164</v>
      </c>
      <c r="B53" s="5" t="s">
        <v>165</v>
      </c>
      <c r="C53" s="5" t="s">
        <v>166</v>
      </c>
      <c r="D53" t="str">
        <f t="shared" si="0"/>
        <v>EP1052DADABA002JA000014</v>
      </c>
    </row>
    <row r="54" spans="1:4">
      <c r="A54" s="5" t="s">
        <v>167</v>
      </c>
      <c r="B54" s="5" t="s">
        <v>168</v>
      </c>
      <c r="C54" s="5" t="s">
        <v>10</v>
      </c>
      <c r="D54" t="str">
        <f t="shared" si="0"/>
        <v>EP7000VBGR2A002ED000011</v>
      </c>
    </row>
    <row r="55" spans="1:4">
      <c r="A55" s="5" t="s">
        <v>169</v>
      </c>
      <c r="B55" s="5" t="s">
        <v>170</v>
      </c>
      <c r="C55" s="5" t="s">
        <v>10</v>
      </c>
      <c r="D55" t="str">
        <f t="shared" si="0"/>
        <v>EPF2RDBADAAAP12EE000006</v>
      </c>
    </row>
    <row r="56" spans="1:4">
      <c r="A56" s="5" t="s">
        <v>171</v>
      </c>
      <c r="B56" s="5" t="s">
        <v>172</v>
      </c>
      <c r="C56" s="5" t="s">
        <v>88</v>
      </c>
      <c r="D56" t="str">
        <f t="shared" si="0"/>
        <v>ELIMA3SDBADA022JA000017</v>
      </c>
    </row>
    <row r="57" spans="1:4">
      <c r="A57" s="5" t="s">
        <v>173</v>
      </c>
      <c r="B57" s="5" t="s">
        <v>174</v>
      </c>
      <c r="C57" s="5" t="s">
        <v>17</v>
      </c>
      <c r="D57" t="str">
        <f t="shared" si="0"/>
        <v>EPIOO4DBYABA002EB000005</v>
      </c>
    </row>
    <row r="58" spans="1:4">
      <c r="A58" s="5" t="s">
        <v>175</v>
      </c>
      <c r="B58" s="5" t="s">
        <v>83</v>
      </c>
      <c r="C58" s="5" t="s">
        <v>75</v>
      </c>
      <c r="D58" t="str">
        <f t="shared" si="0"/>
        <v>EL1518FCALAA002JA000004</v>
      </c>
    </row>
    <row r="59" spans="1:4">
      <c r="A59" s="5" t="s">
        <v>176</v>
      </c>
      <c r="B59" s="5" t="s">
        <v>177</v>
      </c>
      <c r="C59" s="5" t="s">
        <v>84</v>
      </c>
      <c r="D59" t="str">
        <f t="shared" si="0"/>
        <v>EL4118FAMMAA022JD000005</v>
      </c>
    </row>
    <row r="60" spans="1:4">
      <c r="A60" s="5" t="s">
        <v>178</v>
      </c>
      <c r="B60" s="5" t="s">
        <v>179</v>
      </c>
      <c r="C60" s="5" t="s">
        <v>19</v>
      </c>
      <c r="D60" t="str">
        <f t="shared" si="0"/>
        <v>EPIMR4SGOABA002EE000008</v>
      </c>
    </row>
    <row r="61" spans="1:4">
      <c r="A61" s="5" t="s">
        <v>180</v>
      </c>
      <c r="B61" s="5" t="s">
        <v>181</v>
      </c>
      <c r="C61" s="5" t="s">
        <v>75</v>
      </c>
      <c r="D61" t="str">
        <f t="shared" si="0"/>
        <v>EP3019VHDR2A002EB000010</v>
      </c>
    </row>
    <row r="62" spans="1:4">
      <c r="A62" s="5" t="s">
        <v>182</v>
      </c>
      <c r="B62" s="5" t="s">
        <v>183</v>
      </c>
      <c r="C62" s="5" t="s">
        <v>12</v>
      </c>
      <c r="D62" t="str">
        <f t="shared" si="0"/>
        <v>EP1098FKDMAA002JA000016</v>
      </c>
    </row>
    <row r="63" spans="1:4">
      <c r="A63" s="5" t="s">
        <v>111</v>
      </c>
      <c r="B63" s="5" t="s">
        <v>184</v>
      </c>
      <c r="C63" s="5" t="s">
        <v>10</v>
      </c>
      <c r="D63" t="str">
        <f t="shared" si="0"/>
        <v>EPIOO4FCSLAAP12EA000016</v>
      </c>
    </row>
    <row r="64" spans="1:4">
      <c r="A64" s="5" t="s">
        <v>185</v>
      </c>
      <c r="B64" s="5" t="s">
        <v>139</v>
      </c>
      <c r="C64" s="5" t="s">
        <v>21</v>
      </c>
      <c r="D64" t="str">
        <f t="shared" si="0"/>
        <v>EP3515CHIFAA002EA000003</v>
      </c>
    </row>
    <row r="65" spans="1:4">
      <c r="A65" s="5" t="s">
        <v>186</v>
      </c>
      <c r="B65" s="5" t="s">
        <v>187</v>
      </c>
      <c r="C65" s="5" t="s">
        <v>10</v>
      </c>
      <c r="D65" t="str">
        <f t="shared" si="0"/>
        <v>EP0782CNAIAA002EA000058</v>
      </c>
    </row>
    <row r="66" spans="1:4">
      <c r="A66" s="5" t="s">
        <v>188</v>
      </c>
      <c r="B66" s="5" t="s">
        <v>145</v>
      </c>
      <c r="C66" s="5" t="s">
        <v>21</v>
      </c>
      <c r="D66" t="str">
        <f t="shared" si="0"/>
        <v>ELS1D1YAPGAL613IH000001</v>
      </c>
    </row>
    <row r="67" spans="1:4">
      <c r="A67" s="5" t="s">
        <v>189</v>
      </c>
      <c r="B67" s="5" t="s">
        <v>174</v>
      </c>
      <c r="C67" s="5" t="s">
        <v>10</v>
      </c>
      <c r="D67" t="str">
        <f t="shared" ref="D67:D96" si="1">_xlfn.CONCAT(TRIM($A67),TRIM($B67))</f>
        <v>EPO2D1FCUMAAP12EB000005</v>
      </c>
    </row>
    <row r="68" spans="1:4">
      <c r="A68" s="5" t="s">
        <v>190</v>
      </c>
      <c r="B68" s="5" t="s">
        <v>110</v>
      </c>
      <c r="C68" s="5" t="s">
        <v>17</v>
      </c>
      <c r="D68" t="str">
        <f t="shared" si="1"/>
        <v>EPIOO4SCBABAP12EB000011</v>
      </c>
    </row>
    <row r="69" spans="1:4">
      <c r="A69" s="5" t="s">
        <v>191</v>
      </c>
      <c r="B69" s="5" t="s">
        <v>159</v>
      </c>
      <c r="C69" s="5" t="s">
        <v>14</v>
      </c>
      <c r="D69" t="str">
        <f t="shared" si="1"/>
        <v>EPIOO42AI1BAP12EA000015</v>
      </c>
    </row>
    <row r="70" spans="1:4">
      <c r="A70" s="5" t="s">
        <v>192</v>
      </c>
      <c r="B70" s="5" t="s">
        <v>193</v>
      </c>
      <c r="C70" s="5" t="s">
        <v>10</v>
      </c>
      <c r="D70" t="str">
        <f t="shared" si="1"/>
        <v>EP3220FIILAAP12EB000004</v>
      </c>
    </row>
    <row r="71" spans="1:4">
      <c r="A71" s="5" t="s">
        <v>157</v>
      </c>
      <c r="B71" s="5" t="s">
        <v>181</v>
      </c>
      <c r="C71" s="5" t="s">
        <v>10</v>
      </c>
      <c r="D71" t="str">
        <f t="shared" si="1"/>
        <v>EPIOO4JCXABAP12EB000010</v>
      </c>
    </row>
    <row r="72" spans="1:4">
      <c r="A72" s="5" t="s">
        <v>194</v>
      </c>
      <c r="B72" s="5" t="s">
        <v>149</v>
      </c>
      <c r="C72" s="5" t="s">
        <v>75</v>
      </c>
      <c r="D72" t="str">
        <f t="shared" si="1"/>
        <v>EP3518FCKMAA002EB000008</v>
      </c>
    </row>
    <row r="73" spans="1:4">
      <c r="A73" s="5" t="s">
        <v>195</v>
      </c>
      <c r="B73" s="5" t="s">
        <v>174</v>
      </c>
      <c r="C73" s="5" t="s">
        <v>10</v>
      </c>
      <c r="D73" t="str">
        <f t="shared" si="1"/>
        <v>EP11782OTABAP32EB000005</v>
      </c>
    </row>
    <row r="74" spans="1:4">
      <c r="A74" s="5" t="s">
        <v>196</v>
      </c>
      <c r="B74" s="5" t="s">
        <v>197</v>
      </c>
      <c r="C74" s="5" t="s">
        <v>14</v>
      </c>
      <c r="D74" t="str">
        <f t="shared" si="1"/>
        <v>EPIMR4HHRAAAP12EE000003</v>
      </c>
    </row>
    <row r="75" spans="1:4">
      <c r="A75" s="5" t="s">
        <v>198</v>
      </c>
      <c r="B75" s="5" t="s">
        <v>199</v>
      </c>
      <c r="C75" s="5" t="s">
        <v>10</v>
      </c>
      <c r="D75" t="str">
        <f t="shared" si="1"/>
        <v>EP2411FDTNAA002JA000009</v>
      </c>
    </row>
    <row r="76" spans="1:4">
      <c r="A76" s="5" t="s">
        <v>200</v>
      </c>
      <c r="B76" s="5" t="s">
        <v>201</v>
      </c>
      <c r="C76" s="5" t="s">
        <v>12</v>
      </c>
      <c r="D76" t="str">
        <f t="shared" si="1"/>
        <v>EL3220FVVSAA002JA000005</v>
      </c>
    </row>
    <row r="77" spans="1:4">
      <c r="A77" s="5" t="s">
        <v>202</v>
      </c>
      <c r="B77" s="5" t="s">
        <v>139</v>
      </c>
      <c r="C77" s="5" t="s">
        <v>75</v>
      </c>
      <c r="D77" t="str">
        <f t="shared" si="1"/>
        <v>EPG2J1CAWKAA002EA000003</v>
      </c>
    </row>
    <row r="78" spans="1:4">
      <c r="A78" s="5" t="s">
        <v>203</v>
      </c>
      <c r="B78" s="5" t="s">
        <v>204</v>
      </c>
      <c r="C78" s="5" t="s">
        <v>17</v>
      </c>
      <c r="D78" t="str">
        <f t="shared" si="1"/>
        <v>EP2016DMOABA002EB000016</v>
      </c>
    </row>
    <row r="79" spans="1:4">
      <c r="A79" s="5" t="s">
        <v>205</v>
      </c>
      <c r="B79" s="5" t="s">
        <v>83</v>
      </c>
      <c r="C79" s="5" t="s">
        <v>17</v>
      </c>
      <c r="D79" t="str">
        <f t="shared" si="1"/>
        <v>EL2614ODAABA042JA000004</v>
      </c>
    </row>
    <row r="80" spans="1:4">
      <c r="A80" s="5" t="s">
        <v>164</v>
      </c>
      <c r="B80" s="5" t="s">
        <v>172</v>
      </c>
      <c r="C80" s="5" t="s">
        <v>10</v>
      </c>
      <c r="D80" t="str">
        <f t="shared" si="1"/>
        <v>EP1052DADABA002JA000017</v>
      </c>
    </row>
    <row r="81" spans="1:4">
      <c r="A81" s="5" t="s">
        <v>206</v>
      </c>
      <c r="B81" s="5" t="s">
        <v>123</v>
      </c>
      <c r="C81" s="5" t="s">
        <v>10</v>
      </c>
      <c r="D81" t="str">
        <f t="shared" si="1"/>
        <v>EPD3D2CKKIAA002JA000003</v>
      </c>
    </row>
    <row r="82" spans="1:4">
      <c r="A82" s="5" t="s">
        <v>207</v>
      </c>
      <c r="B82" s="5" t="s">
        <v>208</v>
      </c>
      <c r="C82" s="5" t="s">
        <v>10</v>
      </c>
      <c r="D82" t="str">
        <f t="shared" si="1"/>
        <v>EL2114FEJMAB023IA000009</v>
      </c>
    </row>
    <row r="83" spans="1:4">
      <c r="A83" s="5" t="s">
        <v>209</v>
      </c>
      <c r="B83" s="5" t="s">
        <v>135</v>
      </c>
      <c r="C83" s="5" t="s">
        <v>10</v>
      </c>
      <c r="D83" t="str">
        <f t="shared" si="1"/>
        <v>EP6050FBULAA002EA000010</v>
      </c>
    </row>
    <row r="84" spans="1:4">
      <c r="A84" s="5" t="s">
        <v>210</v>
      </c>
      <c r="B84" s="5" t="s">
        <v>90</v>
      </c>
      <c r="C84" s="5" t="s">
        <v>10</v>
      </c>
      <c r="D84" t="str">
        <f t="shared" si="1"/>
        <v>ELD3DTSUIABA102JD000001</v>
      </c>
    </row>
    <row r="85" spans="1:4">
      <c r="A85" s="5" t="s">
        <v>211</v>
      </c>
      <c r="B85" s="5" t="s">
        <v>83</v>
      </c>
      <c r="C85" s="5" t="s">
        <v>166</v>
      </c>
      <c r="D85" t="str">
        <f t="shared" si="1"/>
        <v>ELD3I3SFEAAB022JA000004</v>
      </c>
    </row>
    <row r="86" spans="1:4">
      <c r="A86" s="5" t="s">
        <v>212</v>
      </c>
      <c r="B86" s="5" t="s">
        <v>213</v>
      </c>
      <c r="C86" s="5" t="s">
        <v>75</v>
      </c>
      <c r="D86" t="str">
        <f t="shared" si="1"/>
        <v>ELUDP3FCFMAA043IH000006</v>
      </c>
    </row>
    <row r="87" spans="1:4">
      <c r="A87" s="5" t="s">
        <v>214</v>
      </c>
      <c r="B87" s="5" t="s">
        <v>215</v>
      </c>
      <c r="C87" s="5" t="s">
        <v>216</v>
      </c>
      <c r="D87" t="str">
        <f t="shared" si="1"/>
        <v>EL2821FSTLAA022HD000006</v>
      </c>
    </row>
    <row r="88" spans="1:4">
      <c r="A88" s="5" t="s">
        <v>217</v>
      </c>
      <c r="B88" s="5" t="s">
        <v>218</v>
      </c>
      <c r="C88" s="5" t="s">
        <v>10</v>
      </c>
      <c r="D88" t="str">
        <f t="shared" si="1"/>
        <v>EPIMR4PKHAAA002EE000004</v>
      </c>
    </row>
    <row r="89" spans="1:4">
      <c r="A89" s="5" t="s">
        <v>140</v>
      </c>
      <c r="B89" s="5" t="s">
        <v>79</v>
      </c>
      <c r="C89" s="5" t="s">
        <v>10</v>
      </c>
      <c r="D89" t="str">
        <f t="shared" si="1"/>
        <v>EPIOO4JDDABAP12EA000002</v>
      </c>
    </row>
    <row r="90" spans="1:4">
      <c r="A90" s="5" t="s">
        <v>191</v>
      </c>
      <c r="B90" s="5" t="s">
        <v>156</v>
      </c>
      <c r="C90" s="5" t="s">
        <v>19</v>
      </c>
      <c r="D90" t="str">
        <f t="shared" si="1"/>
        <v>EPIOO42AI1BAP12EA000006</v>
      </c>
    </row>
    <row r="91" spans="1:4">
      <c r="A91" s="5" t="s">
        <v>219</v>
      </c>
      <c r="B91" s="5" t="s">
        <v>220</v>
      </c>
      <c r="C91" s="5" t="s">
        <v>10</v>
      </c>
      <c r="D91" t="str">
        <f t="shared" si="1"/>
        <v>ELO4B22PKABA022JD000006</v>
      </c>
    </row>
    <row r="92" spans="1:4">
      <c r="A92" s="5" t="s">
        <v>221</v>
      </c>
      <c r="B92" s="5" t="s">
        <v>222</v>
      </c>
      <c r="C92" s="5" t="s">
        <v>10</v>
      </c>
      <c r="D92" t="str">
        <f t="shared" si="1"/>
        <v>EPIOO4FCWLAAP12ED000017</v>
      </c>
    </row>
    <row r="93" spans="1:4">
      <c r="A93" s="5" t="s">
        <v>223</v>
      </c>
      <c r="B93" s="5" t="s">
        <v>79</v>
      </c>
      <c r="C93" s="5" t="s">
        <v>10</v>
      </c>
      <c r="D93" t="str">
        <f t="shared" si="1"/>
        <v>EPF1D1CPVKAA002EA000002</v>
      </c>
    </row>
    <row r="94" spans="1:4">
      <c r="A94" s="5" t="s">
        <v>224</v>
      </c>
      <c r="B94" s="5" t="s">
        <v>225</v>
      </c>
      <c r="C94" s="5" t="s">
        <v>10</v>
      </c>
      <c r="D94" t="str">
        <f t="shared" si="1"/>
        <v>ELD3D1SZHABA342JA000013</v>
      </c>
    </row>
    <row r="95" spans="1:4">
      <c r="A95" s="5" t="s">
        <v>226</v>
      </c>
      <c r="B95" s="5" t="s">
        <v>90</v>
      </c>
      <c r="C95" s="5" t="s">
        <v>10</v>
      </c>
      <c r="D95" t="str">
        <f t="shared" si="1"/>
        <v>ELD3DTSKIAAA102JD000001</v>
      </c>
    </row>
    <row r="96" spans="1:4">
      <c r="A96" s="5" t="s">
        <v>227</v>
      </c>
      <c r="B96" s="5" t="s">
        <v>143</v>
      </c>
      <c r="C96" s="5" t="s">
        <v>10</v>
      </c>
      <c r="D96" t="str">
        <f t="shared" si="1"/>
        <v>EPT445CBAMAACZ2EA000011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0476-BC67-452D-BB3F-778034266458}">
  <dimension ref="A1:AA8"/>
  <sheetViews>
    <sheetView workbookViewId="0">
      <selection activeCell="I2" sqref="I2:I5"/>
    </sheetView>
  </sheetViews>
  <sheetFormatPr defaultRowHeight="15"/>
  <cols>
    <col min="1" max="1" width="21" bestFit="1" customWidth="1"/>
    <col min="2" max="2" width="5.7109375" bestFit="1" customWidth="1"/>
    <col min="3" max="3" width="34.42578125" bestFit="1" customWidth="1"/>
    <col min="4" max="4" width="17.5703125" bestFit="1" customWidth="1"/>
    <col min="5" max="5" width="13.7109375" bestFit="1" customWidth="1"/>
    <col min="6" max="6" width="24.85546875" bestFit="1" customWidth="1"/>
    <col min="7" max="7" width="21.7109375" bestFit="1" customWidth="1"/>
    <col min="8" max="8" width="8.42578125" bestFit="1" customWidth="1"/>
    <col min="27" max="27" width="101" bestFit="1" customWidth="1"/>
  </cols>
  <sheetData>
    <row r="1" spans="1:27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57</v>
      </c>
      <c r="AA1" t="s">
        <v>236</v>
      </c>
    </row>
    <row r="2" spans="1:27">
      <c r="A2" t="s">
        <v>237</v>
      </c>
      <c r="B2" t="s">
        <v>10</v>
      </c>
      <c r="C2" t="s">
        <v>238</v>
      </c>
      <c r="D2" t="s">
        <v>239</v>
      </c>
      <c r="E2" t="s">
        <v>131</v>
      </c>
      <c r="F2">
        <v>71</v>
      </c>
      <c r="G2" t="s">
        <v>240</v>
      </c>
      <c r="H2">
        <v>100</v>
      </c>
      <c r="I2" t="str">
        <f>_xlfn.CONCAT($AA$1,$A2,$AA$2,$B2,$AA$3,$D2,$AA$4,$E2,$AA$5,$F2,$AA$6,$G2,$AA$7,$H2,$AA$8)</f>
        <v>&lt;API FlowName="IBD_UpdateInventory"&gt;&lt;Input&gt;&lt;InventorySnapShot InventoryFeedType="0" OrganizationCode="TITAN_GCC"&gt;&lt;ShipNode ShipNode="XDF"&gt;&lt;Item ItemID="EP1036CTKWAA00" LotNumber="2JA000007" CFAProductCode="71" ProductCode="C"&gt;&lt;SupplyDetails Quantity="100"/&gt;&lt;/Item&gt;&lt;/ShipNode&gt;&lt;/InventorySnapShot&gt;&lt;/Input&gt;&lt;/API&gt;</v>
      </c>
      <c r="AA2" t="s">
        <v>241</v>
      </c>
    </row>
    <row r="3" spans="1:27">
      <c r="A3" t="s">
        <v>237</v>
      </c>
      <c r="B3" t="s">
        <v>12</v>
      </c>
      <c r="C3" t="s">
        <v>242</v>
      </c>
      <c r="D3" t="s">
        <v>243</v>
      </c>
      <c r="E3" t="s">
        <v>244</v>
      </c>
      <c r="F3">
        <v>73</v>
      </c>
      <c r="G3" t="s">
        <v>245</v>
      </c>
      <c r="H3">
        <v>100</v>
      </c>
      <c r="I3" t="str">
        <f t="shared" ref="I3:I5" si="0">_xlfn.CONCAT($AA$1,$A3,$AA$2,$B3,$AA$3,$D3,$AA$4,$E3,$AA$5,$F3,$AA$6,$G3,$AA$7,$H3,$AA$8)</f>
        <v>&lt;API FlowName="IBD_UpdateInventory"&gt;&lt;Input&gt;&lt;InventorySnapShot InventoryFeedType="0" OrganizationCode="TITAN_GCC"&gt;&lt;ShipNode ShipNode="XDM"&gt;&lt;Item ItemID="EZ0102ZKCRAP00" LotNumber="2BL001618" CFAProductCode="73" ProductCode="Z"&gt;&lt;SupplyDetails Quantity="100"/&gt;&lt;/Item&gt;&lt;/ShipNode&gt;&lt;/InventorySnapShot&gt;&lt;/Input&gt;&lt;/API&gt;</v>
      </c>
      <c r="AA3" t="s">
        <v>246</v>
      </c>
    </row>
    <row r="4" spans="1:27">
      <c r="A4" t="s">
        <v>237</v>
      </c>
      <c r="B4" t="s">
        <v>12</v>
      </c>
      <c r="C4" t="s">
        <v>247</v>
      </c>
      <c r="D4" t="s">
        <v>248</v>
      </c>
      <c r="E4" t="s">
        <v>197</v>
      </c>
      <c r="F4">
        <v>71</v>
      </c>
      <c r="G4" t="s">
        <v>240</v>
      </c>
      <c r="H4">
        <v>100</v>
      </c>
      <c r="I4" t="str">
        <f t="shared" si="0"/>
        <v>&lt;API FlowName="IBD_UpdateInventory"&gt;&lt;Input&gt;&lt;InventorySnapShot InventoryFeedType="0" OrganizationCode="TITAN_GCC"&gt;&lt;ShipNode ShipNode="XDM"&gt;&lt;Item ItemID="ELIDI3CDVGAA00" LotNumber="2EE000003" CFAProductCode="71" ProductCode="C"&gt;&lt;SupplyDetails Quantity="100"/&gt;&lt;/Item&gt;&lt;/ShipNode&gt;&lt;/InventorySnapShot&gt;&lt;/Input&gt;&lt;/API&gt;</v>
      </c>
      <c r="AA4" t="s">
        <v>249</v>
      </c>
    </row>
    <row r="5" spans="1:27">
      <c r="A5" t="s">
        <v>237</v>
      </c>
      <c r="B5" t="s">
        <v>12</v>
      </c>
      <c r="C5" t="s">
        <v>250</v>
      </c>
      <c r="D5" t="s">
        <v>251</v>
      </c>
      <c r="E5" t="s">
        <v>252</v>
      </c>
      <c r="F5">
        <v>72</v>
      </c>
      <c r="G5" t="s">
        <v>253</v>
      </c>
      <c r="H5">
        <v>100</v>
      </c>
      <c r="I5" t="str">
        <f t="shared" si="0"/>
        <v>&lt;API FlowName="IBD_UpdateInventory"&gt;&lt;Input&gt;&lt;InventorySnapShot InventoryFeedType="0" OrganizationCode="TITAN_GCC"&gt;&lt;ShipNode ShipNode="XDM"&gt;&lt;Item ItemID="EL3117FJOLAA04" LotNumber="2JA000002" CFAProductCode="72" ProductCode="F"&gt;&lt;SupplyDetails Quantity="100"/&gt;&lt;/Item&gt;&lt;/ShipNode&gt;&lt;/InventorySnapShot&gt;&lt;/Input&gt;&lt;/API&gt;</v>
      </c>
      <c r="AA5" t="s">
        <v>254</v>
      </c>
    </row>
    <row r="6" spans="1:27">
      <c r="AA6" t="s">
        <v>255</v>
      </c>
    </row>
    <row r="7" spans="1:27">
      <c r="AA7" t="s">
        <v>256</v>
      </c>
    </row>
    <row r="8" spans="1:27">
      <c r="AA8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Salmon S</cp:lastModifiedBy>
  <cp:revision/>
  <dcterms:created xsi:type="dcterms:W3CDTF">2024-06-03T05:34:16Z</dcterms:created>
  <dcterms:modified xsi:type="dcterms:W3CDTF">2026-01-05T12:48:53Z</dcterms:modified>
  <cp:category/>
  <cp:contentStatus/>
</cp:coreProperties>
</file>