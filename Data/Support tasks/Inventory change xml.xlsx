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/>
  <xr:revisionPtr revIDLastSave="171" documentId="11_0B1D56BE9CDCCE836B02CE7A5FB0D4A9BBFD1C62" xr6:coauthVersionLast="47" xr6:coauthVersionMax="47" xr10:uidLastSave="{60B0D513-141E-4036-B5BA-48D2114CEBFA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B2" i="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2" i="3"/>
  <c r="E3" i="3" a="1"/>
  <c r="E3" i="3"/>
  <c r="E4" i="3" a="1"/>
  <c r="E4" i="3"/>
  <c r="E5" i="3" a="1"/>
  <c r="E5" i="3"/>
  <c r="E6" i="3" a="1"/>
  <c r="E6" i="3"/>
  <c r="E7" i="3" a="1"/>
  <c r="E7" i="3"/>
  <c r="E8" i="3" a="1"/>
  <c r="E8" i="3"/>
  <c r="E9" i="3" a="1"/>
  <c r="E9" i="3"/>
  <c r="E10" i="3" a="1"/>
  <c r="E10" i="3"/>
  <c r="E11" i="3" a="1"/>
  <c r="E11" i="3"/>
  <c r="E12" i="3" a="1"/>
  <c r="E12" i="3"/>
  <c r="E13" i="3" a="1"/>
  <c r="E13" i="3"/>
  <c r="E14" i="3" a="1"/>
  <c r="E14" i="3"/>
  <c r="E15" i="3" a="1"/>
  <c r="E15" i="3"/>
  <c r="E16" i="3" a="1"/>
  <c r="E16" i="3"/>
  <c r="E17" i="3" a="1"/>
  <c r="E17" i="3"/>
  <c r="E18" i="3" a="1"/>
  <c r="E18" i="3"/>
  <c r="E19" i="3" a="1"/>
  <c r="E19" i="3"/>
  <c r="E20" i="3" a="1"/>
  <c r="E20" i="3"/>
  <c r="E21" i="3" a="1"/>
  <c r="E21" i="3"/>
  <c r="E22" i="3" a="1"/>
  <c r="E22" i="3"/>
  <c r="E23" i="3" a="1"/>
  <c r="E23" i="3"/>
  <c r="E24" i="3" a="1"/>
  <c r="E24" i="3"/>
  <c r="E25" i="3" a="1"/>
  <c r="E25" i="3"/>
  <c r="E26" i="3" a="1"/>
  <c r="E26" i="3"/>
  <c r="E27" i="3" a="1"/>
  <c r="E27" i="3"/>
  <c r="E28" i="3" a="1"/>
  <c r="E28" i="3"/>
  <c r="E29" i="3" a="1"/>
  <c r="E29" i="3"/>
  <c r="E30" i="3" a="1"/>
  <c r="E30" i="3"/>
  <c r="E31" i="3" a="1"/>
  <c r="E31" i="3"/>
  <c r="E32" i="3" a="1"/>
  <c r="E32" i="3"/>
  <c r="E33" i="3" a="1"/>
  <c r="E33" i="3"/>
  <c r="E34" i="3" a="1"/>
  <c r="E34" i="3"/>
  <c r="E35" i="3" a="1"/>
  <c r="E35" i="3"/>
  <c r="E36" i="3" a="1"/>
  <c r="E36" i="3"/>
  <c r="E37" i="3" a="1"/>
  <c r="E37" i="3"/>
  <c r="E38" i="3" a="1"/>
  <c r="E38" i="3"/>
  <c r="E39" i="3" a="1"/>
  <c r="E39" i="3"/>
  <c r="E40" i="3" a="1"/>
  <c r="E40" i="3"/>
  <c r="E41" i="3" a="1"/>
  <c r="E41" i="3"/>
  <c r="E42" i="3" a="1"/>
  <c r="E42" i="3"/>
  <c r="E43" i="3" a="1"/>
  <c r="E43" i="3"/>
  <c r="E44" i="3" a="1"/>
  <c r="E44" i="3"/>
  <c r="E45" i="3" a="1"/>
  <c r="E45" i="3"/>
  <c r="E46" i="3" a="1"/>
  <c r="E46" i="3"/>
  <c r="E47" i="3" a="1"/>
  <c r="E47" i="3"/>
  <c r="E48" i="3" a="1"/>
  <c r="E48" i="3"/>
  <c r="E49" i="3" a="1"/>
  <c r="E49" i="3"/>
  <c r="E50" i="3" a="1"/>
  <c r="E50" i="3"/>
  <c r="E51" i="3" a="1"/>
  <c r="E51" i="3"/>
  <c r="E52" i="3" a="1"/>
  <c r="E52" i="3"/>
  <c r="E53" i="3" a="1"/>
  <c r="E53" i="3"/>
  <c r="E54" i="3" a="1"/>
  <c r="E54" i="3"/>
  <c r="E55" i="3" a="1"/>
  <c r="E55" i="3"/>
  <c r="E56" i="3" a="1"/>
  <c r="E56" i="3"/>
  <c r="E57" i="3" a="1"/>
  <c r="E57" i="3"/>
  <c r="E58" i="3" a="1"/>
  <c r="E58" i="3"/>
  <c r="E59" i="3" a="1"/>
  <c r="E59" i="3"/>
  <c r="E60" i="3" a="1"/>
  <c r="E60" i="3"/>
  <c r="E61" i="3" a="1"/>
  <c r="E61" i="3"/>
  <c r="E62" i="3" a="1"/>
  <c r="E62" i="3"/>
  <c r="E63" i="3" a="1"/>
  <c r="E63" i="3"/>
  <c r="E64" i="3" a="1"/>
  <c r="E64" i="3"/>
  <c r="E65" i="3" a="1"/>
  <c r="E65" i="3"/>
  <c r="E66" i="3" a="1"/>
  <c r="E66" i="3"/>
  <c r="E67" i="3" a="1"/>
  <c r="E67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90" i="3"/>
  <c r="E2" i="3" a="1"/>
  <c r="E2" i="3"/>
  <c r="E67" i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2" i="3"/>
  <c r="E9" i="1"/>
  <c r="E20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K2" i="1"/>
  <c r="E3" i="1"/>
  <c r="K3" i="1" s="1"/>
  <c r="E4" i="1"/>
  <c r="K4" i="1" s="1"/>
  <c r="E5" i="1"/>
  <c r="K5" i="1" s="1"/>
  <c r="E6" i="1"/>
  <c r="K6" i="1" s="1"/>
  <c r="E7" i="1"/>
  <c r="K7" i="1" s="1"/>
  <c r="E8" i="1"/>
  <c r="K8" i="1" s="1"/>
  <c r="E10" i="1"/>
  <c r="K10" i="1" s="1"/>
  <c r="E11" i="1"/>
  <c r="K11" i="1" s="1"/>
  <c r="E12" i="1"/>
  <c r="K12" i="1" s="1"/>
  <c r="E13" i="1"/>
  <c r="K13" i="1" s="1"/>
  <c r="E14" i="1"/>
  <c r="K14" i="1" s="1"/>
  <c r="E15" i="1"/>
  <c r="K15" i="1" s="1"/>
  <c r="E16" i="1"/>
  <c r="K16" i="1" s="1"/>
  <c r="E17" i="1"/>
  <c r="K17" i="1" s="1"/>
  <c r="E18" i="1"/>
  <c r="K18" i="1" s="1"/>
  <c r="E19" i="1"/>
  <c r="F19" i="1" s="1" a="1"/>
  <c r="F19" i="1" s="1"/>
  <c r="K19" i="1" s="1"/>
  <c r="E21" i="1"/>
  <c r="F21" i="1" s="1" a="1"/>
  <c r="F21" i="1" s="1"/>
  <c r="K21" i="1" s="1"/>
  <c r="E22" i="1"/>
  <c r="F22" i="1" s="1" a="1"/>
  <c r="F22" i="1" s="1"/>
  <c r="K22" i="1" s="1"/>
  <c r="E23" i="1"/>
  <c r="F23" i="1" s="1" a="1"/>
  <c r="F23" i="1" s="1"/>
  <c r="K23" i="1" s="1"/>
  <c r="E24" i="1"/>
  <c r="F24" i="1" s="1" a="1"/>
  <c r="F24" i="1" s="1"/>
  <c r="K24" i="1" s="1"/>
  <c r="E25" i="1"/>
  <c r="F25" i="1" s="1" a="1"/>
  <c r="F25" i="1" s="1"/>
  <c r="K25" i="1" s="1"/>
  <c r="E26" i="1"/>
  <c r="F26" i="1" s="1" a="1"/>
  <c r="F26" i="1" s="1"/>
  <c r="K26" i="1" s="1"/>
  <c r="E27" i="1"/>
  <c r="F27" i="1" s="1" a="1"/>
  <c r="F27" i="1" s="1"/>
  <c r="K27" i="1" s="1"/>
  <c r="E28" i="1"/>
  <c r="F28" i="1" s="1" a="1"/>
  <c r="F28" i="1" s="1"/>
  <c r="K28" i="1" s="1"/>
  <c r="E29" i="1"/>
  <c r="F29" i="1" s="1" a="1"/>
  <c r="F29" i="1" s="1"/>
  <c r="K29" i="1" s="1"/>
  <c r="E30" i="1"/>
  <c r="F30" i="1" s="1" a="1"/>
  <c r="F30" i="1" s="1"/>
  <c r="K30" i="1" s="1"/>
  <c r="E31" i="1"/>
  <c r="F31" i="1" s="1" a="1"/>
  <c r="F31" i="1" s="1"/>
  <c r="K31" i="1" s="1"/>
  <c r="E32" i="1"/>
  <c r="F32" i="1" s="1" a="1"/>
  <c r="F32" i="1" s="1"/>
  <c r="K32" i="1" s="1"/>
  <c r="E33" i="1"/>
  <c r="F33" i="1" s="1" a="1"/>
  <c r="F33" i="1" s="1"/>
  <c r="K33" i="1" s="1"/>
  <c r="E34" i="1"/>
  <c r="F34" i="1" s="1" a="1"/>
  <c r="F34" i="1" s="1"/>
  <c r="K34" i="1" s="1"/>
  <c r="E35" i="1"/>
  <c r="F35" i="1" s="1" a="1"/>
  <c r="F35" i="1" s="1"/>
  <c r="K35" i="1" s="1"/>
  <c r="E36" i="1"/>
  <c r="F36" i="1" s="1" a="1"/>
  <c r="F36" i="1" s="1"/>
  <c r="K36" i="1" s="1"/>
  <c r="E37" i="1"/>
  <c r="F37" i="1" s="1" a="1"/>
  <c r="F37" i="1" s="1"/>
  <c r="K37" i="1" s="1"/>
  <c r="E38" i="1"/>
  <c r="F38" i="1" s="1" a="1"/>
  <c r="F38" i="1" s="1"/>
  <c r="K38" i="1" s="1"/>
  <c r="E39" i="1"/>
  <c r="F39" i="1" s="1" a="1"/>
  <c r="F39" i="1" s="1"/>
  <c r="K39" i="1" s="1"/>
  <c r="E40" i="1"/>
  <c r="E41" i="1"/>
  <c r="E42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F20" i="1" l="1" a="1"/>
  <c r="F20" i="1" s="1"/>
  <c r="K20" i="1" s="1"/>
  <c r="K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<sst xmlns="http://schemas.openxmlformats.org/spreadsheetml/2006/main" count="536" uniqueCount="239">
  <si>
    <t>LocationCode</t>
  </si>
  <si>
    <t>ItemCode</t>
  </si>
  <si>
    <t>LotNumber</t>
  </si>
  <si>
    <t>New location code</t>
  </si>
  <si>
    <t>Item ID</t>
  </si>
  <si>
    <t>Code</t>
  </si>
  <si>
    <t>lot</t>
  </si>
  <si>
    <t>posting classification</t>
  </si>
  <si>
    <t>product code</t>
  </si>
  <si>
    <t>&lt;API FlowName="IBD_UpdateInventory"&gt;&lt;Input&gt;
&lt;InventorySnapShot InventoryFeedType="0" OrganizationCode="TITAN_GCC"&gt;
&lt;ShipNode ShipNode="</t>
  </si>
  <si>
    <t>"&gt;
&lt;Item ItemID="</t>
  </si>
  <si>
    <t>" LotNumber="</t>
  </si>
  <si>
    <t>" CFAProductCode="</t>
  </si>
  <si>
    <t>" ProductCode="</t>
  </si>
  <si>
    <t>"&gt;
&lt;SupplyDetails Quantity="1"/&gt;
&lt;/Item&gt;		
&lt;/ShipNode&gt;
&lt;/InventorySnapShot&gt;
&lt;/Input&gt;&lt;/API&gt;</t>
  </si>
  <si>
    <t>EL0063OFAAAB02</t>
  </si>
  <si>
    <t>2JA000004</t>
  </si>
  <si>
    <t>XDB</t>
  </si>
  <si>
    <t>EL0104SQAABAPL</t>
  </si>
  <si>
    <t>72</t>
  </si>
  <si>
    <t>O</t>
  </si>
  <si>
    <t>EL0063OKAAAA04</t>
  </si>
  <si>
    <t>2JA000013</t>
  </si>
  <si>
    <t>EL0063OLAAAC02</t>
  </si>
  <si>
    <t>2JA000003</t>
  </si>
  <si>
    <t>EL0063OXAAAC04</t>
  </si>
  <si>
    <t>2JA000005</t>
  </si>
  <si>
    <t>EL0064OFAAAB02</t>
  </si>
  <si>
    <t>EL0060SAAAGAPL</t>
  </si>
  <si>
    <t>2JA000028</t>
  </si>
  <si>
    <t>XDK</t>
  </si>
  <si>
    <t>78</t>
  </si>
  <si>
    <t>S</t>
  </si>
  <si>
    <t>EL0063OJAAAB02</t>
  </si>
  <si>
    <t>2JA000010</t>
  </si>
  <si>
    <t>3IH000074</t>
  </si>
  <si>
    <t>EL0178SGAABA12</t>
  </si>
  <si>
    <t>2JA000057</t>
  </si>
  <si>
    <t>EL0819OIAABA02</t>
  </si>
  <si>
    <t>2JA000007</t>
  </si>
  <si>
    <t>EL0009SXAABA12</t>
  </si>
  <si>
    <t>2JA000027</t>
  </si>
  <si>
    <t>XAH</t>
  </si>
  <si>
    <t>EL0063ODAAAB04</t>
  </si>
  <si>
    <t>EL0063OJAAAB04</t>
  </si>
  <si>
    <t>EL0063SLAABA13</t>
  </si>
  <si>
    <t>2JA000037</t>
  </si>
  <si>
    <t>=VLOOKUP(E17,Sheet2!$B$2:$F$67,{2,3,4,5},FALSE)</t>
  </si>
  <si>
    <t>=vlookup(E18,'Sheet2'!B2:F16,{2,3,4,5},FALSE)</t>
  </si>
  <si>
    <t xml:space="preserve">EL0009SXAABA122JA000027                 </t>
  </si>
  <si>
    <t xml:space="preserve">EL0060SAAAGAPL2JA000028                 </t>
  </si>
  <si>
    <t xml:space="preserve">EL0063ODAAAB042JA000004                 </t>
  </si>
  <si>
    <t xml:space="preserve">EL0063OFAAAB022JA000004                 </t>
  </si>
  <si>
    <t xml:space="preserve">EL0063OJAAAB022JA000010                 </t>
  </si>
  <si>
    <t xml:space="preserve">EL0063OJAAAB042JA000005                 </t>
  </si>
  <si>
    <t xml:space="preserve">EL0063OKAAAA042JA000013                 </t>
  </si>
  <si>
    <t xml:space="preserve">EL0063OLAAAC022JA000003                 </t>
  </si>
  <si>
    <t xml:space="preserve">EL0063OXAAAC042JA000003                 </t>
  </si>
  <si>
    <t xml:space="preserve">EL0063OXAAAC042JA000005                 </t>
  </si>
  <si>
    <t xml:space="preserve">EL0063SLAABA132JA000037                 </t>
  </si>
  <si>
    <t xml:space="preserve">EL0064OFAAAB022JA000004                 </t>
  </si>
  <si>
    <t xml:space="preserve">EL0104SQAABAPL3IH000074                 </t>
  </si>
  <si>
    <t xml:space="preserve">EL0178SGAABA122JA000057                 </t>
  </si>
  <si>
    <t xml:space="preserve">EL0819OIAABA022JA000007                 </t>
  </si>
  <si>
    <t>UL1519CMNGLA00</t>
  </si>
  <si>
    <t>2OXNJ0038</t>
  </si>
  <si>
    <t>XTH</t>
  </si>
  <si>
    <t>UL1919CEFIAA00</t>
  </si>
  <si>
    <t>2EE000002</t>
  </si>
  <si>
    <t>UL1920SDCAGA00</t>
  </si>
  <si>
    <t>2JA000015</t>
  </si>
  <si>
    <t>XTD</t>
  </si>
  <si>
    <t>UL1920SDDAGA00</t>
  </si>
  <si>
    <t>2JA000014</t>
  </si>
  <si>
    <t>UL2617FFASAA00</t>
  </si>
  <si>
    <t>2ED000004</t>
  </si>
  <si>
    <t>XCG</t>
  </si>
  <si>
    <t>UL2617FFFSAA00</t>
  </si>
  <si>
    <t>2ED000003</t>
  </si>
  <si>
    <t>UL1047FBWNAA04</t>
  </si>
  <si>
    <t>3IH000001</t>
  </si>
  <si>
    <t>UL0769FGATAA04</t>
  </si>
  <si>
    <t>3IH000002</t>
  </si>
  <si>
    <t>UL0859DBAABA31</t>
  </si>
  <si>
    <t>UL1002FHCSAA04</t>
  </si>
  <si>
    <t>UL1002FILUAA02</t>
  </si>
  <si>
    <t>UL1002FIZMAA02</t>
  </si>
  <si>
    <t>1BL000004</t>
  </si>
  <si>
    <t>UL3820DCOABAP1</t>
  </si>
  <si>
    <t>2OXNJ0040</t>
  </si>
  <si>
    <t>UL3820JCQABAP1</t>
  </si>
  <si>
    <t>2EA000008</t>
  </si>
  <si>
    <t>UL3820JCUABAP1</t>
  </si>
  <si>
    <t>2EA000011</t>
  </si>
  <si>
    <t>UL3820SDCABAP1</t>
  </si>
  <si>
    <t>2EA000012</t>
  </si>
  <si>
    <t>UP1160OUKAAAP1</t>
  </si>
  <si>
    <t>2EB000001</t>
  </si>
  <si>
    <t>UP11931CEABAP1</t>
  </si>
  <si>
    <t>2EE000004</t>
  </si>
  <si>
    <t>UL0926VHAABA12</t>
  </si>
  <si>
    <t>UL0495FMAOAA12</t>
  </si>
  <si>
    <t>UL1720FOZNAA18</t>
  </si>
  <si>
    <t>2BD000004</t>
  </si>
  <si>
    <t>UL1720FPDLAA37</t>
  </si>
  <si>
    <t>1BL000002</t>
  </si>
  <si>
    <t>UL4022FJBNAA12</t>
  </si>
  <si>
    <t>2JA000008</t>
  </si>
  <si>
    <t>UP1096DDCABA18</t>
  </si>
  <si>
    <t>UPT445CBTMAACZ</t>
  </si>
  <si>
    <t>2EA000001</t>
  </si>
  <si>
    <t>UPF1D1DFFAGACZ</t>
  </si>
  <si>
    <t>UP4021CBXMOACZ</t>
  </si>
  <si>
    <t>2EA000003</t>
  </si>
  <si>
    <t>UPF1D1SEBAGACZ</t>
  </si>
  <si>
    <t>2EA000009</t>
  </si>
  <si>
    <t>UPF1D1SECAGACZ</t>
  </si>
  <si>
    <t>UPF1D1SEKAGACZ</t>
  </si>
  <si>
    <t>2EA000015</t>
  </si>
  <si>
    <t>UT1786FCLSAA00</t>
  </si>
  <si>
    <t>2BD000009</t>
  </si>
  <si>
    <t>UT2013FCBSAA04</t>
  </si>
  <si>
    <t>2BD000005</t>
  </si>
  <si>
    <t>UT3115FAOLAA04</t>
  </si>
  <si>
    <t>UT2013FFZOAA00</t>
  </si>
  <si>
    <t>2BD000006</t>
  </si>
  <si>
    <t>UT3115FAPRAA04</t>
  </si>
  <si>
    <t>2BD000010</t>
  </si>
  <si>
    <t>UT1188FTBSAA00</t>
  </si>
  <si>
    <t>UL0553VKAR2A02</t>
  </si>
  <si>
    <t>2BA000003</t>
  </si>
  <si>
    <t>UL1163VIAR1A04</t>
  </si>
  <si>
    <t>1BL000006</t>
  </si>
  <si>
    <t>UL1095BSFFAA04</t>
  </si>
  <si>
    <t>2JD000004</t>
  </si>
  <si>
    <t>UL1153VFAR1A02</t>
  </si>
  <si>
    <t>1BL000005</t>
  </si>
  <si>
    <t>UL1153VFIR1A01</t>
  </si>
  <si>
    <t>UL1153VFZT1A02</t>
  </si>
  <si>
    <t>UL2923FZQSAA00</t>
  </si>
  <si>
    <t>UL2923FZRLAA00</t>
  </si>
  <si>
    <t>UL2923FZVSAA00</t>
  </si>
  <si>
    <t>UL2923FZNSAA00</t>
  </si>
  <si>
    <t>2JA000002</t>
  </si>
  <si>
    <t>UL2923FZPLAA00</t>
  </si>
  <si>
    <t>2JA000001</t>
  </si>
  <si>
    <t>UL2923FZPSAA00</t>
  </si>
  <si>
    <t>UP1250YHTEAA00</t>
  </si>
  <si>
    <t>2ED000009</t>
  </si>
  <si>
    <t>UP1250YHZEAA00</t>
  </si>
  <si>
    <t>UP1048YJRGAA00</t>
  </si>
  <si>
    <t>UP1154YMEGAA00</t>
  </si>
  <si>
    <t>2EA000004</t>
  </si>
  <si>
    <t>UP2018YWNGAA00</t>
  </si>
  <si>
    <t>2ED000010</t>
  </si>
  <si>
    <t>UP2115YWAGAA00</t>
  </si>
  <si>
    <t>2ED000012</t>
  </si>
  <si>
    <t>UL38201DPABAP3</t>
  </si>
  <si>
    <t>UL3820VDFQ2AP3</t>
  </si>
  <si>
    <t>2BA000005</t>
  </si>
  <si>
    <t>UL3820VDIQ2AP3</t>
  </si>
  <si>
    <t>UP20202AS1BAP3</t>
  </si>
  <si>
    <t>UP3217FDRNAAP3</t>
  </si>
  <si>
    <t>2EB000008</t>
  </si>
  <si>
    <t>UP3217FDSOAAP3</t>
  </si>
  <si>
    <t>UL32191HKABAP5</t>
  </si>
  <si>
    <t>1BL000001</t>
  </si>
  <si>
    <t>UP5060VLBS2AP5</t>
  </si>
  <si>
    <t>2BA000002</t>
  </si>
  <si>
    <t>UP5060VJDR2AP5</t>
  </si>
  <si>
    <t>UP5060VJHR2AP5</t>
  </si>
  <si>
    <t>UP5060VJLR2AP5</t>
  </si>
  <si>
    <t>UP5060VKWR2AP5</t>
  </si>
  <si>
    <t>UL0495FMAOAA122JA000013</t>
  </si>
  <si>
    <t>UL0553VKAR2A022BA000003</t>
  </si>
  <si>
    <t>UL0769FGATAA043IH000002</t>
  </si>
  <si>
    <t>UL0859DBAABA312JA000003</t>
  </si>
  <si>
    <t>UL0926VHAABA122JA000013</t>
  </si>
  <si>
    <t>UL1002FHCSAA043IH000001</t>
  </si>
  <si>
    <t>UL1002FILUAA022JA000005</t>
  </si>
  <si>
    <t>UL1002FIZMAA021BL000004</t>
  </si>
  <si>
    <t>UL1047FBWNAA043IH000001</t>
  </si>
  <si>
    <t>UL1095BSFFAA042JD000004</t>
  </si>
  <si>
    <t>UL1153VFAR1A021BL000005</t>
  </si>
  <si>
    <t>UL1153VFIR1A011BL000005</t>
  </si>
  <si>
    <t>UL1153VFZT1A021BL000005</t>
  </si>
  <si>
    <t>UL1163VIAR1A041BL000006</t>
  </si>
  <si>
    <t>UL1519CMNGLA002OXNJ0038</t>
  </si>
  <si>
    <t>UL1720FOZNAA182BD000004</t>
  </si>
  <si>
    <t>UL1720FPDLAA371BL000002</t>
  </si>
  <si>
    <t>UL1919CEFIAA002EE000002</t>
  </si>
  <si>
    <t>UL1920SDCAGA002JA000015</t>
  </si>
  <si>
    <t>UL1920SDDAGA002JA000014</t>
  </si>
  <si>
    <t>UL2617FFASAA002ED000004</t>
  </si>
  <si>
    <t>UL2617FFFSAA002ED000003</t>
  </si>
  <si>
    <t>UL2923FZNSAA002JA000002</t>
  </si>
  <si>
    <t>UL2923FZPLAA002JA000001</t>
  </si>
  <si>
    <t>UL2923FZPSAA002JA000004</t>
  </si>
  <si>
    <t>UL2923FZQSAA002JA000003</t>
  </si>
  <si>
    <t>UL2923FZRLAA002JA000004</t>
  </si>
  <si>
    <t>UL2923FZVSAA002JA000004</t>
  </si>
  <si>
    <t>UL32191HKABAP51BL000001</t>
  </si>
  <si>
    <t>UL38201DPABAP32EA000001</t>
  </si>
  <si>
    <t>UL3820DCOABAP12OXNJ0040</t>
  </si>
  <si>
    <t>UL3820JCQABAP12EA000008</t>
  </si>
  <si>
    <t>UL3820JCUABAP12EA000011</t>
  </si>
  <si>
    <t>UL3820SDCABAP12EA000012</t>
  </si>
  <si>
    <t>UL3820VDFQ2AP32BA000005</t>
  </si>
  <si>
    <t>UL3820VDIQ2AP32EA000011</t>
  </si>
  <si>
    <t>UL4022FJBNAA122JA000008</t>
  </si>
  <si>
    <t>UP1048YJRGAA002EA000009</t>
  </si>
  <si>
    <t>UP1096DDCABA181BL000002</t>
  </si>
  <si>
    <t>UP1154YMEGAA002EA000004</t>
  </si>
  <si>
    <t>UP1160OUKAAAP12EB000001</t>
  </si>
  <si>
    <t>UP11931CEABAP12EE000004</t>
  </si>
  <si>
    <t>UP1250YHTEAA002ED000009</t>
  </si>
  <si>
    <t>UP1250YHZEAA002ED000009</t>
  </si>
  <si>
    <t>UP2018YWNGAA002ED000010</t>
  </si>
  <si>
    <t>UP20202AS1BAP32EA000004</t>
  </si>
  <si>
    <t>UP2115YWAGAA002ED000012</t>
  </si>
  <si>
    <t>UP3217FDRNAAP32EB000008</t>
  </si>
  <si>
    <t>UP3217FDSOAAP32EB000008</t>
  </si>
  <si>
    <t>UP4021CBXMOACZ2EA000003</t>
  </si>
  <si>
    <t>UP5060VJDR2AP52BA000003</t>
  </si>
  <si>
    <t>UP5060VJHR2AP52BA000003</t>
  </si>
  <si>
    <t>UP5060VJLR2AP51BL000001</t>
  </si>
  <si>
    <t>UP5060VKWR2AP51BL000002</t>
  </si>
  <si>
    <t>UP5060VLBS2AP52BA000002</t>
  </si>
  <si>
    <t>UPF1D1DFFAGACZ2EA000011</t>
  </si>
  <si>
    <t>UPF1D1SEBAGACZ2EA000009</t>
  </si>
  <si>
    <t>UPF1D1SECAGACZ2EA000008</t>
  </si>
  <si>
    <t>UPF1D1SEKAGACZ2EA000015</t>
  </si>
  <si>
    <t>UPT445CBTMAACZ2EA000001</t>
  </si>
  <si>
    <t>UT1188FTBSAA002BD000010</t>
  </si>
  <si>
    <t>UT1786FCLSAA002BD000009</t>
  </si>
  <si>
    <t>UT2013FCBSAA042BD000005</t>
  </si>
  <si>
    <t>UT2013FFZOAA002BD000006</t>
  </si>
  <si>
    <t>UT3115FAOLAA042BD000005</t>
  </si>
  <si>
    <t>UT3115FAPRAA042BD000010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</si>
</sst>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72B4D"/>
      <name val="-Apple-System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9"/>
  <sheetViews>
    <sheetView tabSelected="1" topLeftCell="D1" workbookViewId="0">
      <selection activeCell="F2" sqref="F2"/>
    </sheetView>
  </sheetViews>
  <sheetFormatPr defaultRowHeight="15"/>
  <cols>
    <col min="1" max="1" width="13.7109375" bestFit="1" customWidth="1"/>
    <col min="2" max="2" width="18.28515625" bestFit="1" customWidth="1"/>
    <col min="3" max="3" width="11.28515625" bestFit="1" customWidth="1"/>
    <col min="4" max="4" width="17.85546875" bestFit="1" customWidth="1"/>
    <col min="5" max="5" width="28.28515625" bestFit="1" customWidth="1"/>
    <col min="6" max="6" width="18.28515625" style="2" bestFit="1" customWidth="1"/>
    <col min="7" max="7" width="11.28515625" style="2" bestFit="1" customWidth="1"/>
    <col min="8" max="8" width="19.5703125" style="2" bestFit="1" customWidth="1"/>
    <col min="9" max="9" width="12.42578125" style="2" bestFit="1" customWidth="1"/>
    <col min="11" max="11" width="50.7109375" customWidth="1"/>
    <col min="16" max="16" width="48.42578125" customWidth="1"/>
  </cols>
  <sheetData>
    <row r="1" spans="1:16" ht="87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3" t="s">
        <v>9</v>
      </c>
      <c r="L1" s="3" t="s">
        <v>10</v>
      </c>
      <c r="M1" t="s">
        <v>11</v>
      </c>
      <c r="N1" t="s">
        <v>12</v>
      </c>
      <c r="O1" t="s">
        <v>13</v>
      </c>
      <c r="P1" s="3" t="s">
        <v>14</v>
      </c>
    </row>
    <row r="2" spans="1:16">
      <c r="B2" t="s">
        <v>15</v>
      </c>
      <c r="C2" t="s">
        <v>16</v>
      </c>
      <c r="D2" t="s">
        <v>17</v>
      </c>
      <c r="E2" t="str">
        <f>_xlfn.CONCAT($B2,$C2)</f>
        <v>EL0063OFAAAB022JA000004</v>
      </c>
      <c r="F2" s="2" t="s">
        <v>18</v>
      </c>
      <c r="G2" s="2" t="s">
        <v>16</v>
      </c>
      <c r="H2" s="2" t="s">
        <v>19</v>
      </c>
      <c r="I2" s="2" t="s">
        <v>20</v>
      </c>
      <c r="K2" t="str">
        <f>_xlfn.CONCAT($K$1,$D2,$L$1,$F2,$M$1,$G2,$N$1,$H2,$O$1,$I2,$P$1)</f>
        <v>&lt;API FlowName="IBD_UpdateInventory"&gt;&lt;Input&gt;
&lt;InventorySnapShot InventoryFeedType="0" OrganizationCode="TITAN_GCC"&gt;
&lt;ShipNode ShipNode="XDB"&gt;
&lt;Item ItemID="EL0104SQAABAPL" LotNumber="2JA000004" CFAProductCode="72" ProductCode="O"&gt;
&lt;SupplyDetails Quantity="1"/&gt;
&lt;/Item&gt;		
&lt;/ShipNode&gt;
&lt;/InventorySnapShot&gt;
&lt;/Input&gt;&lt;/API&gt;</v>
      </c>
    </row>
    <row r="3" spans="1:16">
      <c r="B3" t="s">
        <v>21</v>
      </c>
      <c r="C3" t="s">
        <v>22</v>
      </c>
      <c r="D3" t="s">
        <v>17</v>
      </c>
      <c r="E3" t="str">
        <f t="shared" ref="E3:E66" si="0">_xlfn.CONCAT($B3,$C3)</f>
        <v>EL0063OKAAAA042JA000013</v>
      </c>
      <c r="F3" s="2" t="s">
        <v>21</v>
      </c>
      <c r="G3" s="2" t="s">
        <v>22</v>
      </c>
      <c r="H3" s="2" t="s">
        <v>19</v>
      </c>
      <c r="I3" s="2" t="s">
        <v>20</v>
      </c>
      <c r="K3" t="str">
        <f t="shared" ref="K3:K66" si="1">_xlfn.CONCAT($K$1,$D3,$L$1,$F3,$M$1,$G3,$N$1,$H3,$O$1,$I3,$P$1)</f>
        <v>&lt;API FlowName="IBD_UpdateInventory"&gt;&lt;Input&gt;
&lt;InventorySnapShot InventoryFeedType="0" OrganizationCode="TITAN_GCC"&gt;
&lt;ShipNode ShipNode="XDB"&gt;
&lt;Item ItemID="EL0063OKAAAA04" LotNumber="2JA000013" CFAProductCode="72" ProductCode="O"&gt;
&lt;SupplyDetails Quantity="1"/&gt;
&lt;/Item&gt;		
&lt;/ShipNode&gt;
&lt;/InventorySnapShot&gt;
&lt;/Input&gt;&lt;/API&gt;</v>
      </c>
    </row>
    <row r="4" spans="1:16">
      <c r="B4" t="s">
        <v>23</v>
      </c>
      <c r="C4" t="s">
        <v>24</v>
      </c>
      <c r="D4" t="s">
        <v>17</v>
      </c>
      <c r="E4" t="str">
        <f t="shared" si="0"/>
        <v>EL0063OLAAAC022JA000003</v>
      </c>
      <c r="F4" s="2" t="s">
        <v>23</v>
      </c>
      <c r="G4" s="2" t="s">
        <v>24</v>
      </c>
      <c r="H4" s="2" t="s">
        <v>19</v>
      </c>
      <c r="I4" s="2" t="s">
        <v>20</v>
      </c>
      <c r="K4" t="str">
        <f t="shared" si="1"/>
        <v>&lt;API FlowName="IBD_UpdateInventory"&gt;&lt;Input&gt;
&lt;InventorySnapShot InventoryFeedType="0" OrganizationCode="TITAN_GCC"&gt;
&lt;ShipNode ShipNode="XDB"&gt;
&lt;Item ItemID="EL0063OLAAAC02" LotNumber="2JA000003" CFAProductCode="72" ProductCode="O"&gt;
&lt;SupplyDetails Quantity="1"/&gt;
&lt;/Item&gt;		
&lt;/ShipNode&gt;
&lt;/InventorySnapShot&gt;
&lt;/Input&gt;&lt;/API&gt;</v>
      </c>
    </row>
    <row r="5" spans="1:16">
      <c r="B5" t="s">
        <v>25</v>
      </c>
      <c r="C5" t="s">
        <v>26</v>
      </c>
      <c r="D5" t="s">
        <v>17</v>
      </c>
      <c r="E5" t="str">
        <f t="shared" si="0"/>
        <v>EL0063OXAAAC042JA000005</v>
      </c>
      <c r="F5" s="2" t="s">
        <v>25</v>
      </c>
      <c r="G5" s="2" t="s">
        <v>26</v>
      </c>
      <c r="H5" s="2" t="s">
        <v>19</v>
      </c>
      <c r="I5" s="2" t="s">
        <v>20</v>
      </c>
      <c r="K5" t="str">
        <f t="shared" si="1"/>
        <v>&lt;API FlowName="IBD_UpdateInventory"&gt;&lt;Input&gt;
&lt;InventorySnapShot InventoryFeedType="0" OrganizationCode="TITAN_GCC"&gt;
&lt;ShipNode ShipNode="XDB"&gt;
&lt;Item ItemID="EL0063OXAAAC04" LotNumber="2JA000005" CFAProductCode="72" ProductCode="O"&gt;
&lt;SupplyDetails Quantity="1"/&gt;
&lt;/Item&gt;		
&lt;/ShipNode&gt;
&lt;/InventorySnapShot&gt;
&lt;/Input&gt;&lt;/API&gt;</v>
      </c>
    </row>
    <row r="6" spans="1:16">
      <c r="B6" t="s">
        <v>27</v>
      </c>
      <c r="C6" t="s">
        <v>16</v>
      </c>
      <c r="D6" t="s">
        <v>17</v>
      </c>
      <c r="E6" t="str">
        <f t="shared" si="0"/>
        <v>EL0064OFAAAB022JA000004</v>
      </c>
      <c r="F6" s="2" t="s">
        <v>27</v>
      </c>
      <c r="G6" s="2" t="s">
        <v>16</v>
      </c>
      <c r="H6" s="2" t="s">
        <v>19</v>
      </c>
      <c r="I6" s="2" t="s">
        <v>20</v>
      </c>
      <c r="K6" t="str">
        <f t="shared" si="1"/>
        <v>&lt;API FlowName="IBD_UpdateInventory"&gt;&lt;Input&gt;
&lt;InventorySnapShot InventoryFeedType="0" OrganizationCode="TITAN_GCC"&gt;
&lt;ShipNode ShipNode="XDB"&gt;
&lt;Item ItemID="EL0064OFAAAB02" LotNumber="2JA000004" CFAProductCode="72" ProductCode="O"&gt;
&lt;SupplyDetails Quantity="1"/&gt;
&lt;/Item&gt;		
&lt;/ShipNode&gt;
&lt;/InventorySnapShot&gt;
&lt;/Input&gt;&lt;/API&gt;</v>
      </c>
    </row>
    <row r="7" spans="1:16">
      <c r="B7" t="s">
        <v>28</v>
      </c>
      <c r="C7" t="s">
        <v>29</v>
      </c>
      <c r="D7" t="s">
        <v>30</v>
      </c>
      <c r="E7" t="str">
        <f t="shared" si="0"/>
        <v>EL0060SAAAGAPL2JA000028</v>
      </c>
      <c r="F7" s="2" t="s">
        <v>28</v>
      </c>
      <c r="G7" s="2" t="s">
        <v>29</v>
      </c>
      <c r="H7" s="2" t="s">
        <v>31</v>
      </c>
      <c r="I7" s="2" t="s">
        <v>32</v>
      </c>
      <c r="K7" t="str">
        <f t="shared" si="1"/>
        <v>&lt;API FlowName="IBD_UpdateInventory"&gt;&lt;Input&gt;
&lt;InventorySnapShot InventoryFeedType="0" OrganizationCode="TITAN_GCC"&gt;
&lt;ShipNode ShipNode="XDK"&gt;
&lt;Item ItemID="EL0060SAAAGAPL" LotNumber="2JA000028" CFAProductCode="78" ProductCode="S"&gt;
&lt;SupplyDetails Quantity="1"/&gt;
&lt;/Item&gt;		
&lt;/ShipNode&gt;
&lt;/InventorySnapShot&gt;
&lt;/Input&gt;&lt;/API&gt;</v>
      </c>
    </row>
    <row r="8" spans="1:16">
      <c r="B8" t="s">
        <v>33</v>
      </c>
      <c r="C8" t="s">
        <v>34</v>
      </c>
      <c r="D8" t="s">
        <v>30</v>
      </c>
      <c r="E8" t="str">
        <f t="shared" si="0"/>
        <v>EL0063OJAAAB022JA000010</v>
      </c>
      <c r="F8" s="2" t="s">
        <v>33</v>
      </c>
      <c r="G8" s="2" t="s">
        <v>34</v>
      </c>
      <c r="H8" s="2" t="s">
        <v>19</v>
      </c>
      <c r="I8" s="2" t="s">
        <v>20</v>
      </c>
      <c r="K8" t="str">
        <f t="shared" si="1"/>
        <v>&lt;API FlowName="IBD_UpdateInventory"&gt;&lt;Input&gt;
&lt;InventorySnapShot InventoryFeedType="0" OrganizationCode="TITAN_GCC"&gt;
&lt;ShipNode ShipNode="XDK"&gt;
&lt;Item ItemID="EL0063OJAAAB02" LotNumber="2JA000010" CFAProductCode="72" ProductCode="O"&gt;
&lt;SupplyDetails Quantity="1"/&gt;
&lt;/Item&gt;		
&lt;/ShipNode&gt;
&lt;/InventorySnapShot&gt;
&lt;/Input&gt;&lt;/API&gt;</v>
      </c>
    </row>
    <row r="9" spans="1:16">
      <c r="B9" t="s">
        <v>18</v>
      </c>
      <c r="C9" t="s">
        <v>35</v>
      </c>
      <c r="D9" t="s">
        <v>30</v>
      </c>
      <c r="E9" t="str">
        <f>_xlfn.CONCAT($B9,$C9)</f>
        <v>EL0104SQAABAPL3IH000074</v>
      </c>
      <c r="F9" s="2" t="s">
        <v>18</v>
      </c>
      <c r="G9" s="2" t="s">
        <v>35</v>
      </c>
      <c r="H9" s="2" t="s">
        <v>31</v>
      </c>
      <c r="I9" s="2" t="s">
        <v>32</v>
      </c>
      <c r="K9" t="str">
        <f t="shared" si="1"/>
        <v>&lt;API FlowName="IBD_UpdateInventory"&gt;&lt;Input&gt;
&lt;InventorySnapShot InventoryFeedType="0" OrganizationCode="TITAN_GCC"&gt;
&lt;ShipNode ShipNode="XDK"&gt;
&lt;Item ItemID="EL0104SQAABAPL" LotNumber="3IH000074" CFAProductCode="78" ProductCode="S"&gt;
&lt;SupplyDetails Quantity="1"/&gt;
&lt;/Item&gt;		
&lt;/ShipNode&gt;
&lt;/InventorySnapShot&gt;
&lt;/Input&gt;&lt;/API&gt;</v>
      </c>
    </row>
    <row r="10" spans="1:16">
      <c r="B10" t="s">
        <v>36</v>
      </c>
      <c r="C10" t="s">
        <v>37</v>
      </c>
      <c r="D10" t="s">
        <v>30</v>
      </c>
      <c r="E10" t="str">
        <f t="shared" si="0"/>
        <v>EL0178SGAABA122JA000057</v>
      </c>
      <c r="F10" s="2" t="s">
        <v>36</v>
      </c>
      <c r="G10" s="2" t="s">
        <v>37</v>
      </c>
      <c r="H10" s="2" t="s">
        <v>31</v>
      </c>
      <c r="I10" s="2" t="s">
        <v>32</v>
      </c>
      <c r="K10" t="str">
        <f t="shared" si="1"/>
        <v>&lt;API FlowName="IBD_UpdateInventory"&gt;&lt;Input&gt;
&lt;InventorySnapShot InventoryFeedType="0" OrganizationCode="TITAN_GCC"&gt;
&lt;ShipNode ShipNode="XDK"&gt;
&lt;Item ItemID="EL0178SGAABA12" LotNumber="2JA000057" CFAProductCode="78" ProductCode="S"&gt;
&lt;SupplyDetails Quantity="1"/&gt;
&lt;/Item&gt;		
&lt;/ShipNode&gt;
&lt;/InventorySnapShot&gt;
&lt;/Input&gt;&lt;/API&gt;</v>
      </c>
    </row>
    <row r="11" spans="1:16">
      <c r="B11" t="s">
        <v>38</v>
      </c>
      <c r="C11" t="s">
        <v>39</v>
      </c>
      <c r="D11" t="s">
        <v>30</v>
      </c>
      <c r="E11" t="str">
        <f t="shared" si="0"/>
        <v>EL0819OIAABA022JA000007</v>
      </c>
      <c r="F11" s="2" t="s">
        <v>38</v>
      </c>
      <c r="G11" s="2" t="s">
        <v>39</v>
      </c>
      <c r="H11" s="2" t="s">
        <v>19</v>
      </c>
      <c r="I11" s="2" t="s">
        <v>20</v>
      </c>
      <c r="K11" t="str">
        <f t="shared" si="1"/>
        <v>&lt;API FlowName="IBD_UpdateInventory"&gt;&lt;Input&gt;
&lt;InventorySnapShot InventoryFeedType="0" OrganizationCode="TITAN_GCC"&gt;
&lt;ShipNode ShipNode="XDK"&gt;
&lt;Item ItemID="EL0819OIAABA02" LotNumber="2JA000007" CFAProductCode="72" ProductCode="O"&gt;
&lt;SupplyDetails Quantity="1"/&gt;
&lt;/Item&gt;		
&lt;/ShipNode&gt;
&lt;/InventorySnapShot&gt;
&lt;/Input&gt;&lt;/API&gt;</v>
      </c>
    </row>
    <row r="12" spans="1:16">
      <c r="B12" t="s">
        <v>40</v>
      </c>
      <c r="C12" t="s">
        <v>41</v>
      </c>
      <c r="D12" t="s">
        <v>42</v>
      </c>
      <c r="E12" t="str">
        <f t="shared" si="0"/>
        <v>EL0009SXAABA122JA000027</v>
      </c>
      <c r="F12" s="2" t="s">
        <v>40</v>
      </c>
      <c r="G12" s="2" t="s">
        <v>41</v>
      </c>
      <c r="H12" s="2" t="s">
        <v>31</v>
      </c>
      <c r="I12" s="2" t="s">
        <v>32</v>
      </c>
      <c r="K12" t="str">
        <f t="shared" si="1"/>
        <v>&lt;API FlowName="IBD_UpdateInventory"&gt;&lt;Input&gt;
&lt;InventorySnapShot InventoryFeedType="0" OrganizationCode="TITAN_GCC"&gt;
&lt;ShipNode ShipNode="XAH"&gt;
&lt;Item ItemID="EL0009SXAABA12" LotNumber="2JA000027" CFAProductCode="78" ProductCode="S"&gt;
&lt;SupplyDetails Quantity="1"/&gt;
&lt;/Item&gt;		
&lt;/ShipNode&gt;
&lt;/InventorySnapShot&gt;
&lt;/Input&gt;&lt;/API&gt;</v>
      </c>
    </row>
    <row r="13" spans="1:16">
      <c r="B13" t="s">
        <v>43</v>
      </c>
      <c r="C13" t="s">
        <v>16</v>
      </c>
      <c r="D13" t="s">
        <v>42</v>
      </c>
      <c r="E13" t="str">
        <f t="shared" si="0"/>
        <v>EL0063ODAAAB042JA000004</v>
      </c>
      <c r="F13" s="2" t="s">
        <v>43</v>
      </c>
      <c r="G13" s="2" t="s">
        <v>16</v>
      </c>
      <c r="H13" s="2" t="s">
        <v>19</v>
      </c>
      <c r="I13" s="2" t="s">
        <v>20</v>
      </c>
      <c r="K13" t="str">
        <f t="shared" si="1"/>
        <v>&lt;API FlowName="IBD_UpdateInventory"&gt;&lt;Input&gt;
&lt;InventorySnapShot InventoryFeedType="0" OrganizationCode="TITAN_GCC"&gt;
&lt;ShipNode ShipNode="XAH"&gt;
&lt;Item ItemID="EL0063ODAAAB04" LotNumber="2JA000004" CFAProductCode="72" ProductCode="O"&gt;
&lt;SupplyDetails Quantity="1"/&gt;
&lt;/Item&gt;		
&lt;/ShipNode&gt;
&lt;/InventorySnapShot&gt;
&lt;/Input&gt;&lt;/API&gt;</v>
      </c>
    </row>
    <row r="14" spans="1:16">
      <c r="B14" t="s">
        <v>44</v>
      </c>
      <c r="C14" t="s">
        <v>26</v>
      </c>
      <c r="D14" t="s">
        <v>42</v>
      </c>
      <c r="E14" t="str">
        <f t="shared" si="0"/>
        <v>EL0063OJAAAB042JA000005</v>
      </c>
      <c r="F14" s="2" t="s">
        <v>44</v>
      </c>
      <c r="G14" s="2" t="s">
        <v>26</v>
      </c>
      <c r="H14" s="2" t="s">
        <v>19</v>
      </c>
      <c r="I14" s="2" t="s">
        <v>20</v>
      </c>
      <c r="K14" t="str">
        <f t="shared" si="1"/>
        <v>&lt;API FlowName="IBD_UpdateInventory"&gt;&lt;Input&gt;
&lt;InventorySnapShot InventoryFeedType="0" OrganizationCode="TITAN_GCC"&gt;
&lt;ShipNode ShipNode="XAH"&gt;
&lt;Item ItemID="EL0063OJAAAB04" LotNumber="2JA000005" CFAProductCode="72" ProductCode="O"&gt;
&lt;SupplyDetails Quantity="1"/&gt;
&lt;/Item&gt;		
&lt;/ShipNode&gt;
&lt;/InventorySnapShot&gt;
&lt;/Input&gt;&lt;/API&gt;</v>
      </c>
    </row>
    <row r="15" spans="1:16">
      <c r="B15" t="s">
        <v>25</v>
      </c>
      <c r="C15" t="s">
        <v>24</v>
      </c>
      <c r="D15" t="s">
        <v>42</v>
      </c>
      <c r="E15" t="str">
        <f t="shared" si="0"/>
        <v>EL0063OXAAAC042JA000003</v>
      </c>
      <c r="F15" s="2" t="s">
        <v>25</v>
      </c>
      <c r="G15" s="2" t="s">
        <v>24</v>
      </c>
      <c r="H15" s="2" t="s">
        <v>19</v>
      </c>
      <c r="I15" s="2" t="s">
        <v>20</v>
      </c>
      <c r="K15" t="str">
        <f t="shared" si="1"/>
        <v>&lt;API FlowName="IBD_UpdateInventory"&gt;&lt;Input&gt;
&lt;InventorySnapShot InventoryFeedType="0" OrganizationCode="TITAN_GCC"&gt;
&lt;ShipNode ShipNode="XAH"&gt;
&lt;Item ItemID="EL0063OXAAAC04" LotNumber="2JA000003" CFAProductCode="72" ProductCode="O"&gt;
&lt;SupplyDetails Quantity="1"/&gt;
&lt;/Item&gt;		
&lt;/ShipNode&gt;
&lt;/InventorySnapShot&gt;
&lt;/Input&gt;&lt;/API&gt;</v>
      </c>
    </row>
    <row r="16" spans="1:16">
      <c r="B16" t="s">
        <v>45</v>
      </c>
      <c r="C16" t="s">
        <v>46</v>
      </c>
      <c r="D16" t="s">
        <v>42</v>
      </c>
      <c r="E16" t="str">
        <f t="shared" si="0"/>
        <v>EL0063SLAABA132JA000037</v>
      </c>
      <c r="F16" s="2" t="s">
        <v>45</v>
      </c>
      <c r="G16" s="2" t="s">
        <v>46</v>
      </c>
      <c r="H16" s="2" t="s">
        <v>31</v>
      </c>
      <c r="I16" s="2" t="s">
        <v>32</v>
      </c>
      <c r="K16" t="str">
        <f t="shared" si="1"/>
        <v>&lt;API FlowName="IBD_UpdateInventory"&gt;&lt;Input&gt;
&lt;InventorySnapShot InventoryFeedType="0" OrganizationCode="TITAN_GCC"&gt;
&lt;ShipNode ShipNode="XAH"&gt;
&lt;Item ItemID="EL0063SLAABA13" LotNumber="2JA000037" CFAProductCode="78" ProductCode="S"&gt;
&lt;SupplyDetails Quantity="1"/&gt;
&lt;/Item&gt;		
&lt;/ShipNode&gt;
&lt;/InventorySnapShot&gt;
&lt;/Input&gt;&lt;/API&gt;</v>
      </c>
    </row>
    <row r="17" spans="2:11">
      <c r="B17" s="4"/>
      <c r="C17" s="4"/>
      <c r="D17" s="4"/>
      <c r="E17" t="str">
        <f t="shared" si="0"/>
        <v/>
      </c>
      <c r="F17" s="2" t="s">
        <v>47</v>
      </c>
      <c r="K17" t="str">
        <f t="shared" si="1"/>
        <v>&lt;API FlowName="IBD_UpdateInventory"&gt;&lt;Input&gt;
&lt;InventorySnapShot InventoryFeedType="0" OrganizationCode="TITAN_GCC"&gt;
&lt;ShipNode ShipNode=""&gt;
&lt;Item ItemID="=VLOOKUP(E17,Sheet2!$B$2:$F$67,{2,3,4,5},FALSE)" LotNumber="" CFAProductCode="" ProductCode=""&gt;
&lt;SupplyDetails Quantity="1"/&gt;
&lt;/Item&gt;		
&lt;/ShipNode&gt;
&lt;/InventorySnapShot&gt;
&lt;/Input&gt;&lt;/API&gt;</v>
      </c>
    </row>
    <row r="18" spans="2:11">
      <c r="B18" s="4"/>
      <c r="C18" s="4"/>
      <c r="D18" s="4"/>
      <c r="E18" t="str">
        <f t="shared" si="0"/>
        <v/>
      </c>
      <c r="F18" s="2" t="s">
        <v>48</v>
      </c>
      <c r="K18" t="str">
        <f t="shared" si="1"/>
        <v>&lt;API FlowName="IBD_UpdateInventory"&gt;&lt;Input&gt;
&lt;InventorySnapShot InventoryFeedType="0" OrganizationCode="TITAN_GCC"&gt;
&lt;ShipNode ShipNode=""&gt;
&lt;Item ItemID="=vlookup(E18,'Sheet2'!B2:F16,{2,3,4,5},FALSE)" LotNumber="" CFAProductCode="" ProductCode=""&gt;
&lt;SupplyDetails Quantity="1"/&gt;
&lt;/Item&gt;		
&lt;/ShipNode&gt;
&lt;/InventorySnapShot&gt;
&lt;/Input&gt;&lt;/API&gt;</v>
      </c>
    </row>
    <row r="19" spans="2:11">
      <c r="B19" s="4"/>
      <c r="C19" s="4"/>
      <c r="D19" s="4"/>
      <c r="E19" t="str">
        <f t="shared" si="0"/>
        <v/>
      </c>
      <c r="F19" s="2" cm="1">
        <f t="array" ref="F19:I19">VLOOKUP(E19,Sheet2!$B$2:$F$67,{2,3,4,5},FALSE)</f>
        <v>0</v>
      </c>
      <c r="G19" s="2">
        <v>0</v>
      </c>
      <c r="H19" s="2">
        <v>0</v>
      </c>
      <c r="I19" s="2">
        <v>0</v>
      </c>
      <c r="K19" t="str">
        <f t="shared" si="1"/>
        <v>&lt;API FlowName="IBD_UpdateInventory"&gt;&lt;Input&gt;
&lt;InventorySnapShot InventoryFeedType="0" OrganizationCode="TITAN_GCC"&gt;
&lt;ShipNode ShipNode=""&gt;
&lt;Item ItemID="0" LotNumber="0" CFAProductCode="0" ProductCode="0"&gt;
&lt;SupplyDetails Quantity="1"/&gt;
&lt;/Item&gt;		
&lt;/ShipNode&gt;
&lt;/InventorySnapShot&gt;
&lt;/Input&gt;&lt;/API&gt;</v>
      </c>
    </row>
    <row r="20" spans="2:11">
      <c r="B20" s="4"/>
      <c r="C20" s="4"/>
      <c r="D20" s="4"/>
      <c r="E20" t="str">
        <f>_xlfn.CONCAT($B20,$C20)</f>
        <v/>
      </c>
      <c r="F20" s="2" cm="1">
        <f t="array" ref="F20:I20">VLOOKUP(E20,Sheet2!$B$2:$F$67,{2,3,4,5},FALSE)</f>
        <v>0</v>
      </c>
      <c r="G20" s="2">
        <v>0</v>
      </c>
      <c r="H20" s="2">
        <v>0</v>
      </c>
      <c r="I20" s="2">
        <v>0</v>
      </c>
      <c r="K20" t="str">
        <f t="shared" si="1"/>
        <v>&lt;API FlowName="IBD_UpdateInventory"&gt;&lt;Input&gt;
&lt;InventorySnapShot InventoryFeedType="0" OrganizationCode="TITAN_GCC"&gt;
&lt;ShipNode ShipNode=""&gt;
&lt;Item ItemID="0" LotNumber="0" CFAProductCode="0" ProductCode="0"&gt;
&lt;SupplyDetails Quantity="1"/&gt;
&lt;/Item&gt;		
&lt;/ShipNode&gt;
&lt;/InventorySnapShot&gt;
&lt;/Input&gt;&lt;/API&gt;</v>
      </c>
    </row>
    <row r="21" spans="2:11">
      <c r="B21" s="4"/>
      <c r="C21" s="4"/>
      <c r="D21" s="4"/>
      <c r="E21" t="str">
        <f t="shared" si="0"/>
        <v/>
      </c>
      <c r="F21" s="2" cm="1">
        <f t="array" ref="F21:I21">VLOOKUP(E21,Sheet2!$B$2:$F$67,{2,3,4,5},FALSE)</f>
        <v>0</v>
      </c>
      <c r="G21" s="2">
        <v>0</v>
      </c>
      <c r="H21" s="2">
        <v>0</v>
      </c>
      <c r="I21" s="2">
        <v>0</v>
      </c>
      <c r="K21" t="str">
        <f t="shared" si="1"/>
        <v>&lt;API FlowName="IBD_UpdateInventory"&gt;&lt;Input&gt;
&lt;InventorySnapShot InventoryFeedType="0" OrganizationCode="TITAN_GCC"&gt;
&lt;ShipNode ShipNode=""&gt;
&lt;Item ItemID="0" LotNumber="0" CFAProductCode="0" ProductCode="0"&gt;
&lt;SupplyDetails Quantity="1"/&gt;
&lt;/Item&gt;		
&lt;/ShipNode&gt;
&lt;/InventorySnapShot&gt;
&lt;/Input&gt;&lt;/API&gt;</v>
      </c>
    </row>
    <row r="22" spans="2:11">
      <c r="B22" s="4"/>
      <c r="C22" s="4"/>
      <c r="D22" s="4"/>
      <c r="E22" t="str">
        <f t="shared" si="0"/>
        <v/>
      </c>
      <c r="F22" s="2" cm="1">
        <f t="array" ref="F22:I22">VLOOKUP(E22,Sheet2!$B$2:$F$67,{2,3,4,5},FALSE)</f>
        <v>0</v>
      </c>
      <c r="G22" s="2">
        <v>0</v>
      </c>
      <c r="H22" s="2">
        <v>0</v>
      </c>
      <c r="I22" s="2">
        <v>0</v>
      </c>
      <c r="K22" t="str">
        <f t="shared" si="1"/>
        <v>&lt;API FlowName="IBD_UpdateInventory"&gt;&lt;Input&gt;
&lt;InventorySnapShot InventoryFeedType="0" OrganizationCode="TITAN_GCC"&gt;
&lt;ShipNode ShipNode=""&gt;
&lt;Item ItemID="0" LotNumber="0" CFAProductCode="0" ProductCode="0"&gt;
&lt;SupplyDetails Quantity="1"/&gt;
&lt;/Item&gt;		
&lt;/ShipNode&gt;
&lt;/InventorySnapShot&gt;
&lt;/Input&gt;&lt;/API&gt;</v>
      </c>
    </row>
    <row r="23" spans="2:11">
      <c r="B23" s="4"/>
      <c r="C23" s="4"/>
      <c r="D23" s="4"/>
      <c r="E23" t="str">
        <f t="shared" si="0"/>
        <v/>
      </c>
      <c r="F23" s="2" cm="1">
        <f t="array" ref="F23:I23">VLOOKUP(E23,Sheet2!$B$2:$F$67,{2,3,4,5},FALSE)</f>
        <v>0</v>
      </c>
      <c r="G23" s="2">
        <v>0</v>
      </c>
      <c r="H23" s="2">
        <v>0</v>
      </c>
      <c r="I23" s="2">
        <v>0</v>
      </c>
      <c r="K23" t="str">
        <f t="shared" si="1"/>
        <v>&lt;API FlowName="IBD_UpdateInventory"&gt;&lt;Input&gt;
&lt;InventorySnapShot InventoryFeedType="0" OrganizationCode="TITAN_GCC"&gt;
&lt;ShipNode ShipNode=""&gt;
&lt;Item ItemID="0" LotNumber="0" CFAProductCode="0" ProductCode="0"&gt;
&lt;SupplyDetails Quantity="1"/&gt;
&lt;/Item&gt;		
&lt;/ShipNode&gt;
&lt;/InventorySnapShot&gt;
&lt;/Input&gt;&lt;/API&gt;</v>
      </c>
    </row>
    <row r="24" spans="2:11">
      <c r="B24" s="4"/>
      <c r="C24" s="4"/>
      <c r="D24" s="4"/>
      <c r="E24" t="str">
        <f t="shared" si="0"/>
        <v/>
      </c>
      <c r="F24" s="2" cm="1">
        <f t="array" ref="F24:I24">VLOOKUP(E24,Sheet2!$B$2:$F$67,{2,3,4,5},FALSE)</f>
        <v>0</v>
      </c>
      <c r="G24" s="2">
        <v>0</v>
      </c>
      <c r="H24" s="2">
        <v>0</v>
      </c>
      <c r="I24" s="2">
        <v>0</v>
      </c>
      <c r="K24" t="str">
        <f t="shared" si="1"/>
        <v>&lt;API FlowName="IBD_UpdateInventory"&gt;&lt;Input&gt;
&lt;InventorySnapShot InventoryFeedType="0" OrganizationCode="TITAN_GCC"&gt;
&lt;ShipNode ShipNode=""&gt;
&lt;Item ItemID="0" LotNumber="0" CFAProductCode="0" ProductCode="0"&gt;
&lt;SupplyDetails Quantity="1"/&gt;
&lt;/Item&gt;		
&lt;/ShipNode&gt;
&lt;/InventorySnapShot&gt;
&lt;/Input&gt;&lt;/API&gt;</v>
      </c>
    </row>
    <row r="25" spans="2:11">
      <c r="B25" s="4"/>
      <c r="C25" s="4"/>
      <c r="D25" s="4"/>
      <c r="E25" t="str">
        <f t="shared" si="0"/>
        <v/>
      </c>
      <c r="F25" s="2" cm="1">
        <f t="array" ref="F25:I25">VLOOKUP(E25,Sheet2!$B$2:$F$67,{2,3,4,5},FALSE)</f>
        <v>0</v>
      </c>
      <c r="G25" s="2">
        <v>0</v>
      </c>
      <c r="H25" s="2">
        <v>0</v>
      </c>
      <c r="I25" s="2">
        <v>0</v>
      </c>
      <c r="K25" t="str">
        <f t="shared" si="1"/>
        <v>&lt;API FlowName="IBD_UpdateInventory"&gt;&lt;Input&gt;
&lt;InventorySnapShot InventoryFeedType="0" OrganizationCode="TITAN_GCC"&gt;
&lt;ShipNode ShipNode=""&gt;
&lt;Item ItemID="0" LotNumber="0" CFAProductCode="0" ProductCode="0"&gt;
&lt;SupplyDetails Quantity="1"/&gt;
&lt;/Item&gt;		
&lt;/ShipNode&gt;
&lt;/InventorySnapShot&gt;
&lt;/Input&gt;&lt;/API&gt;</v>
      </c>
    </row>
    <row r="26" spans="2:11">
      <c r="B26" s="4"/>
      <c r="C26" s="4"/>
      <c r="D26" s="4"/>
      <c r="E26" t="str">
        <f t="shared" si="0"/>
        <v/>
      </c>
      <c r="F26" s="2" cm="1">
        <f t="array" ref="F26:I26">VLOOKUP(E26,Sheet2!$B$2:$F$67,{2,3,4,5},FALSE)</f>
        <v>0</v>
      </c>
      <c r="G26" s="2">
        <v>0</v>
      </c>
      <c r="H26" s="2">
        <v>0</v>
      </c>
      <c r="I26" s="2">
        <v>0</v>
      </c>
      <c r="K26" t="str">
        <f t="shared" si="1"/>
        <v>&lt;API FlowName="IBD_UpdateInventory"&gt;&lt;Input&gt;
&lt;InventorySnapShot InventoryFeedType="0" OrganizationCode="TITAN_GCC"&gt;
&lt;ShipNode ShipNode=""&gt;
&lt;Item ItemID="0" LotNumber="0" CFAProductCode="0" ProductCode="0"&gt;
&lt;SupplyDetails Quantity="1"/&gt;
&lt;/Item&gt;		
&lt;/ShipNode&gt;
&lt;/InventorySnapShot&gt;
&lt;/Input&gt;&lt;/API&gt;</v>
      </c>
    </row>
    <row r="27" spans="2:11">
      <c r="B27" s="4"/>
      <c r="C27" s="4"/>
      <c r="D27" s="4"/>
      <c r="E27" t="str">
        <f t="shared" si="0"/>
        <v/>
      </c>
      <c r="F27" s="2" cm="1">
        <f t="array" ref="F27:I27">VLOOKUP(E27,Sheet2!$B$2:$F$67,{2,3,4,5},FALSE)</f>
        <v>0</v>
      </c>
      <c r="G27" s="2">
        <v>0</v>
      </c>
      <c r="H27" s="2">
        <v>0</v>
      </c>
      <c r="I27" s="2">
        <v>0</v>
      </c>
      <c r="K27" t="str">
        <f t="shared" si="1"/>
        <v>&lt;API FlowName="IBD_UpdateInventory"&gt;&lt;Input&gt;
&lt;InventorySnapShot InventoryFeedType="0" OrganizationCode="TITAN_GCC"&gt;
&lt;ShipNode ShipNode=""&gt;
&lt;Item ItemID="0" LotNumber="0" CFAProductCode="0" ProductCode="0"&gt;
&lt;SupplyDetails Quantity="1"/&gt;
&lt;/Item&gt;		
&lt;/ShipNode&gt;
&lt;/InventorySnapShot&gt;
&lt;/Input&gt;&lt;/API&gt;</v>
      </c>
    </row>
    <row r="28" spans="2:11">
      <c r="B28" s="4"/>
      <c r="C28" s="4"/>
      <c r="D28" s="4"/>
      <c r="E28" t="str">
        <f t="shared" si="0"/>
        <v/>
      </c>
      <c r="F28" s="2" cm="1">
        <f t="array" ref="F28:I28">VLOOKUP(E28,Sheet2!$B$2:$F$67,{2,3,4,5},FALSE)</f>
        <v>0</v>
      </c>
      <c r="G28" s="2">
        <v>0</v>
      </c>
      <c r="H28" s="2">
        <v>0</v>
      </c>
      <c r="I28" s="2">
        <v>0</v>
      </c>
      <c r="K28" t="str">
        <f t="shared" si="1"/>
        <v>&lt;API FlowName="IBD_UpdateInventory"&gt;&lt;Input&gt;
&lt;InventorySnapShot InventoryFeedType="0" OrganizationCode="TITAN_GCC"&gt;
&lt;ShipNode ShipNode=""&gt;
&lt;Item ItemID="0" LotNumber="0" CFAProductCode="0" ProductCode="0"&gt;
&lt;SupplyDetails Quantity="1"/&gt;
&lt;/Item&gt;		
&lt;/ShipNode&gt;
&lt;/InventorySnapShot&gt;
&lt;/Input&gt;&lt;/API&gt;</v>
      </c>
    </row>
    <row r="29" spans="2:11">
      <c r="B29" s="4"/>
      <c r="C29" s="4"/>
      <c r="D29" s="4"/>
      <c r="E29" t="str">
        <f t="shared" si="0"/>
        <v/>
      </c>
      <c r="F29" s="2" cm="1">
        <f t="array" ref="F29:I29">VLOOKUP(E29,Sheet2!$B$2:$F$67,{2,3,4,5},FALSE)</f>
        <v>0</v>
      </c>
      <c r="G29" s="2">
        <v>0</v>
      </c>
      <c r="H29" s="2">
        <v>0</v>
      </c>
      <c r="I29" s="2">
        <v>0</v>
      </c>
      <c r="K29" t="str">
        <f t="shared" si="1"/>
        <v>&lt;API FlowName="IBD_UpdateInventory"&gt;&lt;Input&gt;
&lt;InventorySnapShot InventoryFeedType="0" OrganizationCode="TITAN_GCC"&gt;
&lt;ShipNode ShipNode=""&gt;
&lt;Item ItemID="0" LotNumber="0" CFAProductCode="0" ProductCode="0"&gt;
&lt;SupplyDetails Quantity="1"/&gt;
&lt;/Item&gt;		
&lt;/ShipNode&gt;
&lt;/InventorySnapShot&gt;
&lt;/Input&gt;&lt;/API&gt;</v>
      </c>
    </row>
    <row r="30" spans="2:11">
      <c r="B30" s="4"/>
      <c r="C30" s="4"/>
      <c r="D30" s="4"/>
      <c r="E30" t="str">
        <f t="shared" si="0"/>
        <v/>
      </c>
      <c r="F30" s="2" cm="1">
        <f t="array" ref="F30:I30">VLOOKUP(E30,Sheet2!$B$2:$F$67,{2,3,4,5},FALSE)</f>
        <v>0</v>
      </c>
      <c r="G30" s="2">
        <v>0</v>
      </c>
      <c r="H30" s="2">
        <v>0</v>
      </c>
      <c r="I30" s="2">
        <v>0</v>
      </c>
      <c r="K30" t="str">
        <f t="shared" si="1"/>
        <v>&lt;API FlowName="IBD_UpdateInventory"&gt;&lt;Input&gt;
&lt;InventorySnapShot InventoryFeedType="0" OrganizationCode="TITAN_GCC"&gt;
&lt;ShipNode ShipNode=""&gt;
&lt;Item ItemID="0" LotNumber="0" CFAProductCode="0" ProductCode="0"&gt;
&lt;SupplyDetails Quantity="1"/&gt;
&lt;/Item&gt;		
&lt;/ShipNode&gt;
&lt;/InventorySnapShot&gt;
&lt;/Input&gt;&lt;/API&gt;</v>
      </c>
    </row>
    <row r="31" spans="2:11">
      <c r="B31" s="4"/>
      <c r="C31" s="4"/>
      <c r="D31" s="4"/>
      <c r="E31" t="str">
        <f t="shared" si="0"/>
        <v/>
      </c>
      <c r="F31" s="2" cm="1">
        <f t="array" ref="F31:I31">VLOOKUP(E31,Sheet2!$B$2:$F$67,{2,3,4,5},FALSE)</f>
        <v>0</v>
      </c>
      <c r="G31" s="2">
        <v>0</v>
      </c>
      <c r="H31" s="2">
        <v>0</v>
      </c>
      <c r="I31" s="2">
        <v>0</v>
      </c>
      <c r="K31" t="str">
        <f t="shared" si="1"/>
        <v>&lt;API FlowName="IBD_UpdateInventory"&gt;&lt;Input&gt;
&lt;InventorySnapShot InventoryFeedType="0" OrganizationCode="TITAN_GCC"&gt;
&lt;ShipNode ShipNode=""&gt;
&lt;Item ItemID="0" LotNumber="0" CFAProductCode="0" ProductCode="0"&gt;
&lt;SupplyDetails Quantity="1"/&gt;
&lt;/Item&gt;		
&lt;/ShipNode&gt;
&lt;/InventorySnapShot&gt;
&lt;/Input&gt;&lt;/API&gt;</v>
      </c>
    </row>
    <row r="32" spans="2:11">
      <c r="B32" s="4"/>
      <c r="C32" s="4"/>
      <c r="D32" s="4"/>
      <c r="E32" t="str">
        <f t="shared" si="0"/>
        <v/>
      </c>
      <c r="F32" s="2" cm="1">
        <f t="array" ref="F32:I32">VLOOKUP(E32,Sheet2!$B$2:$F$67,{2,3,4,5},FALSE)</f>
        <v>0</v>
      </c>
      <c r="G32" s="2">
        <v>0</v>
      </c>
      <c r="H32" s="2">
        <v>0</v>
      </c>
      <c r="I32" s="2">
        <v>0</v>
      </c>
      <c r="K32" t="str">
        <f t="shared" si="1"/>
        <v>&lt;API FlowName="IBD_UpdateInventory"&gt;&lt;Input&gt;
&lt;InventorySnapShot InventoryFeedType="0" OrganizationCode="TITAN_GCC"&gt;
&lt;ShipNode ShipNode=""&gt;
&lt;Item ItemID="0" LotNumber="0" CFAProductCode="0" ProductCode="0"&gt;
&lt;SupplyDetails Quantity="1"/&gt;
&lt;/Item&gt;		
&lt;/ShipNode&gt;
&lt;/InventorySnapShot&gt;
&lt;/Input&gt;&lt;/API&gt;</v>
      </c>
    </row>
    <row r="33" spans="2:11">
      <c r="B33" s="4"/>
      <c r="C33" s="4"/>
      <c r="D33" s="4"/>
      <c r="E33" t="str">
        <f t="shared" si="0"/>
        <v/>
      </c>
      <c r="F33" s="2" cm="1">
        <f t="array" ref="F33:I33">VLOOKUP(E33,Sheet2!$B$2:$F$67,{2,3,4,5},FALSE)</f>
        <v>0</v>
      </c>
      <c r="G33" s="2">
        <v>0</v>
      </c>
      <c r="H33" s="2">
        <v>0</v>
      </c>
      <c r="I33" s="2">
        <v>0</v>
      </c>
      <c r="K33" t="str">
        <f t="shared" si="1"/>
        <v>&lt;API FlowName="IBD_UpdateInventory"&gt;&lt;Input&gt;
&lt;InventorySnapShot InventoryFeedType="0" OrganizationCode="TITAN_GCC"&gt;
&lt;ShipNode ShipNode=""&gt;
&lt;Item ItemID="0" LotNumber="0" CFAProductCode="0" ProductCode="0"&gt;
&lt;SupplyDetails Quantity="1"/&gt;
&lt;/Item&gt;		
&lt;/ShipNode&gt;
&lt;/InventorySnapShot&gt;
&lt;/Input&gt;&lt;/API&gt;</v>
      </c>
    </row>
    <row r="34" spans="2:11">
      <c r="B34" s="4"/>
      <c r="C34" s="4"/>
      <c r="D34" s="4"/>
      <c r="E34" t="str">
        <f t="shared" si="0"/>
        <v/>
      </c>
      <c r="F34" s="2" cm="1">
        <f t="array" ref="F34:I34">VLOOKUP(E34,Sheet2!$B$2:$F$67,{2,3,4,5},FALSE)</f>
        <v>0</v>
      </c>
      <c r="G34" s="2">
        <v>0</v>
      </c>
      <c r="H34" s="2">
        <v>0</v>
      </c>
      <c r="I34" s="2">
        <v>0</v>
      </c>
      <c r="K34" t="str">
        <f t="shared" si="1"/>
        <v>&lt;API FlowName="IBD_UpdateInventory"&gt;&lt;Input&gt;
&lt;InventorySnapShot InventoryFeedType="0" OrganizationCode="TITAN_GCC"&gt;
&lt;ShipNode ShipNode=""&gt;
&lt;Item ItemID="0" LotNumber="0" CFAProductCode="0" ProductCode="0"&gt;
&lt;SupplyDetails Quantity="1"/&gt;
&lt;/Item&gt;		
&lt;/ShipNode&gt;
&lt;/InventorySnapShot&gt;
&lt;/Input&gt;&lt;/API&gt;</v>
      </c>
    </row>
    <row r="35" spans="2:11">
      <c r="B35" s="4"/>
      <c r="C35" s="4"/>
      <c r="D35" s="4"/>
      <c r="E35" t="str">
        <f t="shared" si="0"/>
        <v/>
      </c>
      <c r="F35" s="2" cm="1">
        <f t="array" ref="F35:I35">VLOOKUP(E35,Sheet2!$B$2:$F$67,{2,3,4,5},FALSE)</f>
        <v>0</v>
      </c>
      <c r="G35" s="2">
        <v>0</v>
      </c>
      <c r="H35" s="2">
        <v>0</v>
      </c>
      <c r="I35" s="2">
        <v>0</v>
      </c>
      <c r="K35" t="str">
        <f t="shared" si="1"/>
        <v>&lt;API FlowName="IBD_UpdateInventory"&gt;&lt;Input&gt;
&lt;InventorySnapShot InventoryFeedType="0" OrganizationCode="TITAN_GCC"&gt;
&lt;ShipNode ShipNode=""&gt;
&lt;Item ItemID="0" LotNumber="0" CFAProductCode="0" ProductCode="0"&gt;
&lt;SupplyDetails Quantity="1"/&gt;
&lt;/Item&gt;		
&lt;/ShipNode&gt;
&lt;/InventorySnapShot&gt;
&lt;/Input&gt;&lt;/API&gt;</v>
      </c>
    </row>
    <row r="36" spans="2:11">
      <c r="B36" s="4"/>
      <c r="C36" s="4"/>
      <c r="D36" s="4"/>
      <c r="E36" t="str">
        <f t="shared" si="0"/>
        <v/>
      </c>
      <c r="F36" s="2" cm="1">
        <f t="array" ref="F36:I36">VLOOKUP(E36,Sheet2!$B$2:$F$67,{2,3,4,5},FALSE)</f>
        <v>0</v>
      </c>
      <c r="G36" s="2">
        <v>0</v>
      </c>
      <c r="H36" s="2">
        <v>0</v>
      </c>
      <c r="I36" s="2">
        <v>0</v>
      </c>
      <c r="K36" t="str">
        <f t="shared" si="1"/>
        <v>&lt;API FlowName="IBD_UpdateInventory"&gt;&lt;Input&gt;
&lt;InventorySnapShot InventoryFeedType="0" OrganizationCode="TITAN_GCC"&gt;
&lt;ShipNode ShipNode=""&gt;
&lt;Item ItemID="0" LotNumber="0" CFAProductCode="0" ProductCode="0"&gt;
&lt;SupplyDetails Quantity="1"/&gt;
&lt;/Item&gt;		
&lt;/ShipNode&gt;
&lt;/InventorySnapShot&gt;
&lt;/Input&gt;&lt;/API&gt;</v>
      </c>
    </row>
    <row r="37" spans="2:11">
      <c r="B37" s="4"/>
      <c r="C37" s="4"/>
      <c r="D37" s="4"/>
      <c r="E37" t="str">
        <f t="shared" si="0"/>
        <v/>
      </c>
      <c r="F37" s="2" cm="1">
        <f t="array" ref="F37:I37">VLOOKUP(E37,Sheet2!$B$2:$F$67,{2,3,4,5},FALSE)</f>
        <v>0</v>
      </c>
      <c r="G37" s="2">
        <v>0</v>
      </c>
      <c r="H37" s="2">
        <v>0</v>
      </c>
      <c r="I37" s="2">
        <v>0</v>
      </c>
      <c r="K37" t="str">
        <f t="shared" si="1"/>
        <v>&lt;API FlowName="IBD_UpdateInventory"&gt;&lt;Input&gt;
&lt;InventorySnapShot InventoryFeedType="0" OrganizationCode="TITAN_GCC"&gt;
&lt;ShipNode ShipNode=""&gt;
&lt;Item ItemID="0" LotNumber="0" CFAProductCode="0" ProductCode="0"&gt;
&lt;SupplyDetails Quantity="1"/&gt;
&lt;/Item&gt;		
&lt;/ShipNode&gt;
&lt;/InventorySnapShot&gt;
&lt;/Input&gt;&lt;/API&gt;</v>
      </c>
    </row>
    <row r="38" spans="2:11">
      <c r="B38" s="4"/>
      <c r="C38" s="4"/>
      <c r="D38" s="4"/>
      <c r="E38" t="str">
        <f t="shared" si="0"/>
        <v/>
      </c>
      <c r="F38" s="2" cm="1">
        <f t="array" ref="F38:I38">VLOOKUP(E38,Sheet2!$B$2:$F$67,{2,3,4,5},FALSE)</f>
        <v>0</v>
      </c>
      <c r="G38" s="2">
        <v>0</v>
      </c>
      <c r="H38" s="2">
        <v>0</v>
      </c>
      <c r="I38" s="2">
        <v>0</v>
      </c>
      <c r="K38" t="str">
        <f t="shared" si="1"/>
        <v>&lt;API FlowName="IBD_UpdateInventory"&gt;&lt;Input&gt;
&lt;InventorySnapShot InventoryFeedType="0" OrganizationCode="TITAN_GCC"&gt;
&lt;ShipNode ShipNode=""&gt;
&lt;Item ItemID="0" LotNumber="0" CFAProductCode="0" ProductCode="0"&gt;
&lt;SupplyDetails Quantity="1"/&gt;
&lt;/Item&gt;		
&lt;/ShipNode&gt;
&lt;/InventorySnapShot&gt;
&lt;/Input&gt;&lt;/API&gt;</v>
      </c>
    </row>
    <row r="39" spans="2:11">
      <c r="B39" s="4"/>
      <c r="C39" s="4"/>
      <c r="D39" s="4"/>
      <c r="E39" t="str">
        <f t="shared" si="0"/>
        <v/>
      </c>
      <c r="F39" s="2" cm="1">
        <f t="array" ref="F39:I39">VLOOKUP(E39,Sheet2!$B$2:$F$67,{2,3,4,5},FALSE)</f>
        <v>0</v>
      </c>
      <c r="G39" s="2">
        <v>0</v>
      </c>
      <c r="H39" s="2">
        <v>0</v>
      </c>
      <c r="I39" s="2">
        <v>0</v>
      </c>
      <c r="K39" t="str">
        <f t="shared" si="1"/>
        <v>&lt;API FlowName="IBD_UpdateInventory"&gt;&lt;Input&gt;
&lt;InventorySnapShot InventoryFeedType="0" OrganizationCode="TITAN_GCC"&gt;
&lt;ShipNode ShipNode=""&gt;
&lt;Item ItemID="0" LotNumber="0" CFAProductCode="0" ProductCode="0"&gt;
&lt;SupplyDetails Quantity="1"/&gt;
&lt;/Item&gt;		
&lt;/ShipNode&gt;
&lt;/InventorySnapShot&gt;
&lt;/Input&gt;&lt;/API&gt;</v>
      </c>
    </row>
    <row r="40" spans="2:11">
      <c r="E40" t="str">
        <f t="shared" si="0"/>
        <v/>
      </c>
    </row>
    <row r="41" spans="2:11">
      <c r="E41" t="str">
        <f t="shared" si="0"/>
        <v/>
      </c>
    </row>
    <row r="42" spans="2:11">
      <c r="E42" t="str">
        <f t="shared" si="0"/>
        <v/>
      </c>
    </row>
    <row r="44" spans="2:11">
      <c r="E44" t="str">
        <f t="shared" si="0"/>
        <v/>
      </c>
    </row>
    <row r="45" spans="2:11">
      <c r="E45" t="str">
        <f t="shared" si="0"/>
        <v/>
      </c>
    </row>
    <row r="46" spans="2:11">
      <c r="E46" t="str">
        <f t="shared" si="0"/>
        <v/>
      </c>
    </row>
    <row r="47" spans="2:11">
      <c r="E47" t="str">
        <f t="shared" si="0"/>
        <v/>
      </c>
    </row>
    <row r="48" spans="2:11">
      <c r="E48" t="str">
        <f t="shared" si="0"/>
        <v/>
      </c>
    </row>
    <row r="49" spans="5:5">
      <c r="E49" t="str">
        <f t="shared" si="0"/>
        <v/>
      </c>
    </row>
    <row r="50" spans="5:5">
      <c r="E50" t="str">
        <f t="shared" si="0"/>
        <v/>
      </c>
    </row>
    <row r="51" spans="5:5">
      <c r="E51" t="str">
        <f t="shared" si="0"/>
        <v/>
      </c>
    </row>
    <row r="52" spans="5:5">
      <c r="E52" t="str">
        <f t="shared" si="0"/>
        <v/>
      </c>
    </row>
    <row r="53" spans="5:5">
      <c r="E53" t="str">
        <f t="shared" si="0"/>
        <v/>
      </c>
    </row>
    <row r="54" spans="5:5">
      <c r="E54" t="str">
        <f t="shared" si="0"/>
        <v/>
      </c>
    </row>
    <row r="55" spans="5:5">
      <c r="E55" t="str">
        <f t="shared" si="0"/>
        <v/>
      </c>
    </row>
    <row r="56" spans="5:5">
      <c r="E56" t="str">
        <f t="shared" si="0"/>
        <v/>
      </c>
    </row>
    <row r="57" spans="5:5">
      <c r="E57" t="str">
        <f t="shared" si="0"/>
        <v/>
      </c>
    </row>
    <row r="58" spans="5:5">
      <c r="E58" t="str">
        <f t="shared" si="0"/>
        <v/>
      </c>
    </row>
    <row r="59" spans="5:5">
      <c r="E59" t="str">
        <f t="shared" si="0"/>
        <v/>
      </c>
    </row>
    <row r="60" spans="5:5">
      <c r="E60" t="str">
        <f t="shared" si="0"/>
        <v/>
      </c>
    </row>
    <row r="61" spans="5:5">
      <c r="E61" t="str">
        <f t="shared" si="0"/>
        <v/>
      </c>
    </row>
    <row r="62" spans="5:5">
      <c r="E62" t="str">
        <f t="shared" si="0"/>
        <v/>
      </c>
    </row>
    <row r="63" spans="5:5">
      <c r="E63" t="str">
        <f t="shared" si="0"/>
        <v/>
      </c>
    </row>
    <row r="64" spans="5:5">
      <c r="E64" t="str">
        <f t="shared" si="0"/>
        <v/>
      </c>
    </row>
    <row r="65" spans="2:5">
      <c r="E65" t="str">
        <f t="shared" si="0"/>
        <v/>
      </c>
    </row>
    <row r="66" spans="2:5">
      <c r="E66" t="str">
        <f t="shared" si="0"/>
        <v/>
      </c>
    </row>
    <row r="67" spans="2:5">
      <c r="E67" t="str">
        <f>_xlfn.CONCAT($B67,$C67)</f>
        <v/>
      </c>
    </row>
    <row r="69" spans="2:5">
      <c r="B69" s="1"/>
      <c r="C69" s="1"/>
      <c r="D6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566E2-2238-4C3B-A71E-96ADA0E2B58F}">
  <dimension ref="A1:F78"/>
  <sheetViews>
    <sheetView workbookViewId="0">
      <selection activeCell="C5" sqref="C5"/>
    </sheetView>
  </sheetViews>
  <sheetFormatPr defaultRowHeight="15"/>
  <cols>
    <col min="1" max="1" width="35.7109375" bestFit="1" customWidth="1"/>
    <col min="2" max="2" width="28.5703125" bestFit="1" customWidth="1"/>
    <col min="3" max="3" width="18.28515625" bestFit="1" customWidth="1"/>
    <col min="4" max="4" width="11.28515625" bestFit="1" customWidth="1"/>
    <col min="5" max="5" width="19.5703125" bestFit="1" customWidth="1"/>
  </cols>
  <sheetData>
    <row r="1" spans="1:6">
      <c r="A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 s="2" t="s">
        <v>49</v>
      </c>
      <c r="B2" t="str">
        <f>TRIM($A2)</f>
        <v>EL0009SXAABA122JA000027</v>
      </c>
      <c r="C2" s="2" t="s">
        <v>33</v>
      </c>
      <c r="D2" s="2" t="s">
        <v>34</v>
      </c>
      <c r="E2" s="2" t="s">
        <v>19</v>
      </c>
      <c r="F2" s="2" t="s">
        <v>20</v>
      </c>
    </row>
    <row r="3" spans="1:6">
      <c r="A3" s="2" t="s">
        <v>50</v>
      </c>
      <c r="B3" t="str">
        <f t="shared" ref="B3:B66" si="0">TRIM($A3)</f>
        <v>EL0060SAAAGAPL2JA000028</v>
      </c>
      <c r="C3" s="2" t="s">
        <v>38</v>
      </c>
      <c r="D3" s="2" t="s">
        <v>39</v>
      </c>
      <c r="E3" s="2" t="s">
        <v>19</v>
      </c>
      <c r="F3" s="2" t="s">
        <v>20</v>
      </c>
    </row>
    <row r="4" spans="1:6">
      <c r="A4" s="2" t="s">
        <v>51</v>
      </c>
      <c r="B4" t="str">
        <f t="shared" si="0"/>
        <v>EL0063ODAAAB042JA000004</v>
      </c>
      <c r="C4" s="2" t="s">
        <v>28</v>
      </c>
      <c r="D4" s="2" t="s">
        <v>29</v>
      </c>
      <c r="E4" s="2" t="s">
        <v>31</v>
      </c>
      <c r="F4" s="2" t="s">
        <v>32</v>
      </c>
    </row>
    <row r="5" spans="1:6">
      <c r="A5" s="2" t="s">
        <v>52</v>
      </c>
      <c r="B5" t="str">
        <f t="shared" si="0"/>
        <v>EL0063OFAAAB022JA000004</v>
      </c>
      <c r="C5" s="2" t="s">
        <v>18</v>
      </c>
      <c r="D5" s="2" t="s">
        <v>35</v>
      </c>
      <c r="E5" s="2" t="s">
        <v>31</v>
      </c>
      <c r="F5" s="2" t="s">
        <v>32</v>
      </c>
    </row>
    <row r="6" spans="1:6">
      <c r="A6" s="2" t="s">
        <v>53</v>
      </c>
      <c r="B6" t="str">
        <f t="shared" si="0"/>
        <v>EL0063OJAAAB022JA000010</v>
      </c>
      <c r="C6" s="2" t="s">
        <v>36</v>
      </c>
      <c r="D6" s="2" t="s">
        <v>37</v>
      </c>
      <c r="E6" s="2" t="s">
        <v>31</v>
      </c>
      <c r="F6" s="2" t="s">
        <v>32</v>
      </c>
    </row>
    <row r="7" spans="1:6">
      <c r="A7" s="2" t="s">
        <v>54</v>
      </c>
      <c r="B7" t="str">
        <f t="shared" si="0"/>
        <v>EL0063OJAAAB042JA000005</v>
      </c>
      <c r="C7" s="2" t="s">
        <v>15</v>
      </c>
      <c r="D7" s="2" t="s">
        <v>16</v>
      </c>
      <c r="E7" s="2" t="s">
        <v>19</v>
      </c>
      <c r="F7" s="2" t="s">
        <v>20</v>
      </c>
    </row>
    <row r="8" spans="1:6">
      <c r="A8" s="2" t="s">
        <v>55</v>
      </c>
      <c r="B8" t="str">
        <f t="shared" si="0"/>
        <v>EL0063OKAAAA042JA000013</v>
      </c>
      <c r="C8" s="2" t="s">
        <v>25</v>
      </c>
      <c r="D8" s="2" t="s">
        <v>26</v>
      </c>
      <c r="E8" s="2" t="s">
        <v>19</v>
      </c>
      <c r="F8" s="2" t="s">
        <v>20</v>
      </c>
    </row>
    <row r="9" spans="1:6">
      <c r="A9" s="2" t="s">
        <v>56</v>
      </c>
      <c r="B9" t="str">
        <f t="shared" si="0"/>
        <v>EL0063OLAAAC022JA000003</v>
      </c>
      <c r="C9" s="2" t="s">
        <v>44</v>
      </c>
      <c r="D9" s="2" t="s">
        <v>26</v>
      </c>
      <c r="E9" s="2" t="s">
        <v>19</v>
      </c>
      <c r="F9" s="2" t="s">
        <v>20</v>
      </c>
    </row>
    <row r="10" spans="1:6">
      <c r="A10" s="2" t="s">
        <v>57</v>
      </c>
      <c r="B10" t="str">
        <f t="shared" si="0"/>
        <v>EL0063OXAAAC042JA000003</v>
      </c>
      <c r="C10" s="2" t="s">
        <v>21</v>
      </c>
      <c r="D10" s="2" t="s">
        <v>22</v>
      </c>
      <c r="E10" s="2" t="s">
        <v>19</v>
      </c>
      <c r="F10" s="2" t="s">
        <v>20</v>
      </c>
    </row>
    <row r="11" spans="1:6">
      <c r="A11" s="2" t="s">
        <v>58</v>
      </c>
      <c r="B11" t="str">
        <f t="shared" si="0"/>
        <v>EL0063OXAAAC042JA000005</v>
      </c>
      <c r="C11" s="2" t="s">
        <v>25</v>
      </c>
      <c r="D11" s="2" t="s">
        <v>24</v>
      </c>
      <c r="E11" s="2" t="s">
        <v>19</v>
      </c>
      <c r="F11" s="2" t="s">
        <v>20</v>
      </c>
    </row>
    <row r="12" spans="1:6">
      <c r="A12" s="2" t="s">
        <v>59</v>
      </c>
      <c r="B12" t="str">
        <f t="shared" si="0"/>
        <v>EL0063SLAABA132JA000037</v>
      </c>
      <c r="C12" s="2" t="s">
        <v>43</v>
      </c>
      <c r="D12" s="2" t="s">
        <v>16</v>
      </c>
      <c r="E12" s="2" t="s">
        <v>19</v>
      </c>
      <c r="F12" s="2" t="s">
        <v>20</v>
      </c>
    </row>
    <row r="13" spans="1:6">
      <c r="A13" s="2" t="s">
        <v>60</v>
      </c>
      <c r="B13" t="str">
        <f t="shared" si="0"/>
        <v>EL0064OFAAAB022JA000004</v>
      </c>
      <c r="C13" s="2" t="s">
        <v>40</v>
      </c>
      <c r="D13" s="2" t="s">
        <v>41</v>
      </c>
      <c r="E13" s="2" t="s">
        <v>31</v>
      </c>
      <c r="F13" s="2" t="s">
        <v>32</v>
      </c>
    </row>
    <row r="14" spans="1:6">
      <c r="A14" s="2" t="s">
        <v>61</v>
      </c>
      <c r="B14" t="str">
        <f t="shared" si="0"/>
        <v>EL0104SQAABAPL3IH000074</v>
      </c>
      <c r="C14" s="2" t="s">
        <v>45</v>
      </c>
      <c r="D14" s="2" t="s">
        <v>46</v>
      </c>
      <c r="E14" s="2" t="s">
        <v>31</v>
      </c>
      <c r="F14" s="2" t="s">
        <v>32</v>
      </c>
    </row>
    <row r="15" spans="1:6">
      <c r="A15" s="2" t="s">
        <v>62</v>
      </c>
      <c r="B15" t="str">
        <f t="shared" si="0"/>
        <v>EL0178SGAABA122JA000057</v>
      </c>
      <c r="C15" s="2" t="s">
        <v>23</v>
      </c>
      <c r="D15" s="2" t="s">
        <v>24</v>
      </c>
      <c r="E15" s="2" t="s">
        <v>19</v>
      </c>
      <c r="F15" s="2" t="s">
        <v>20</v>
      </c>
    </row>
    <row r="16" spans="1:6">
      <c r="A16" s="2" t="s">
        <v>63</v>
      </c>
      <c r="B16" t="str">
        <f t="shared" si="0"/>
        <v>EL0819OIAABA022JA000007</v>
      </c>
      <c r="C16" s="2" t="s">
        <v>27</v>
      </c>
      <c r="D16" s="2" t="s">
        <v>16</v>
      </c>
      <c r="E16" s="2" t="s">
        <v>19</v>
      </c>
      <c r="F16" s="2" t="s">
        <v>20</v>
      </c>
    </row>
    <row r="17" spans="1:6">
      <c r="A17" s="2"/>
      <c r="B17" t="str">
        <f t="shared" si="0"/>
        <v/>
      </c>
      <c r="C17" s="2"/>
      <c r="D17" s="2"/>
      <c r="E17" s="2"/>
      <c r="F17" s="2"/>
    </row>
    <row r="18" spans="1:6">
      <c r="A18" s="2"/>
      <c r="B18" t="str">
        <f t="shared" si="0"/>
        <v/>
      </c>
      <c r="C18" s="2"/>
      <c r="D18" s="2"/>
      <c r="E18" s="2"/>
      <c r="F18" s="2"/>
    </row>
    <row r="19" spans="1:6">
      <c r="A19" s="2"/>
      <c r="B19" t="str">
        <f t="shared" si="0"/>
        <v/>
      </c>
      <c r="C19" s="2"/>
      <c r="D19" s="2"/>
      <c r="E19" s="2"/>
      <c r="F19" s="2"/>
    </row>
    <row r="20" spans="1:6">
      <c r="A20" s="2"/>
      <c r="B20" t="str">
        <f t="shared" si="0"/>
        <v/>
      </c>
      <c r="C20" s="2"/>
      <c r="D20" s="2"/>
      <c r="E20" s="2"/>
      <c r="F20" s="2"/>
    </row>
    <row r="21" spans="1:6">
      <c r="A21" s="2"/>
      <c r="B21" t="str">
        <f t="shared" si="0"/>
        <v/>
      </c>
      <c r="C21" s="2"/>
      <c r="D21" s="2"/>
      <c r="E21" s="2"/>
      <c r="F21" s="2"/>
    </row>
    <row r="22" spans="1:6">
      <c r="A22" s="2"/>
      <c r="B22" t="str">
        <f t="shared" si="0"/>
        <v/>
      </c>
      <c r="C22" s="2"/>
      <c r="D22" s="2"/>
      <c r="E22" s="2"/>
      <c r="F22" s="2"/>
    </row>
    <row r="23" spans="1:6">
      <c r="A23" s="2"/>
      <c r="B23" t="str">
        <f t="shared" si="0"/>
        <v/>
      </c>
      <c r="C23" s="2"/>
      <c r="D23" s="2"/>
      <c r="E23" s="2"/>
      <c r="F23" s="2"/>
    </row>
    <row r="24" spans="1:6">
      <c r="A24" s="2"/>
      <c r="B24" t="str">
        <f t="shared" si="0"/>
        <v/>
      </c>
      <c r="C24" s="2"/>
      <c r="D24" s="2"/>
      <c r="E24" s="2"/>
      <c r="F24" s="2"/>
    </row>
    <row r="25" spans="1:6">
      <c r="A25" s="2"/>
      <c r="B25" t="str">
        <f t="shared" si="0"/>
        <v/>
      </c>
      <c r="C25" s="2"/>
      <c r="D25" s="2"/>
      <c r="E25" s="2"/>
      <c r="F25" s="2"/>
    </row>
    <row r="26" spans="1:6">
      <c r="A26" s="2"/>
      <c r="B26" t="str">
        <f t="shared" si="0"/>
        <v/>
      </c>
      <c r="C26" s="2"/>
      <c r="D26" s="2"/>
      <c r="E26" s="2"/>
      <c r="F26" s="2"/>
    </row>
    <row r="27" spans="1:6">
      <c r="A27" s="2"/>
      <c r="B27" t="str">
        <f t="shared" si="0"/>
        <v/>
      </c>
      <c r="C27" s="2"/>
      <c r="D27" s="2"/>
      <c r="E27" s="2"/>
      <c r="F27" s="2"/>
    </row>
    <row r="28" spans="1:6">
      <c r="A28" s="2"/>
      <c r="B28" t="str">
        <f t="shared" si="0"/>
        <v/>
      </c>
      <c r="C28" s="2"/>
      <c r="D28" s="2"/>
      <c r="E28" s="2"/>
      <c r="F28" s="2"/>
    </row>
    <row r="29" spans="1:6">
      <c r="A29" s="2"/>
      <c r="B29" t="str">
        <f t="shared" si="0"/>
        <v/>
      </c>
      <c r="C29" s="2"/>
      <c r="D29" s="2"/>
      <c r="E29" s="2"/>
      <c r="F29" s="2"/>
    </row>
    <row r="30" spans="1:6">
      <c r="A30" s="2"/>
      <c r="B30" t="str">
        <f t="shared" si="0"/>
        <v/>
      </c>
      <c r="C30" s="2"/>
      <c r="D30" s="2"/>
      <c r="E30" s="2"/>
      <c r="F30" s="2"/>
    </row>
    <row r="31" spans="1:6">
      <c r="A31" s="2"/>
      <c r="B31" t="str">
        <f t="shared" si="0"/>
        <v/>
      </c>
      <c r="C31" s="2"/>
      <c r="D31" s="2"/>
      <c r="E31" s="2"/>
      <c r="F31" s="2"/>
    </row>
    <row r="32" spans="1:6">
      <c r="A32" s="2"/>
      <c r="B32" t="str">
        <f t="shared" si="0"/>
        <v/>
      </c>
      <c r="C32" s="2"/>
      <c r="D32" s="2"/>
      <c r="E32" s="2"/>
      <c r="F32" s="2"/>
    </row>
    <row r="33" spans="1:6">
      <c r="A33" s="2"/>
      <c r="B33" t="str">
        <f t="shared" si="0"/>
        <v/>
      </c>
      <c r="C33" s="2"/>
      <c r="D33" s="2"/>
      <c r="E33" s="2"/>
      <c r="F33" s="2"/>
    </row>
    <row r="34" spans="1:6">
      <c r="A34" s="2"/>
      <c r="B34" t="str">
        <f t="shared" si="0"/>
        <v/>
      </c>
      <c r="C34" s="2"/>
      <c r="D34" s="2"/>
      <c r="E34" s="2"/>
      <c r="F34" s="2"/>
    </row>
    <row r="35" spans="1:6">
      <c r="A35" s="2"/>
      <c r="B35" t="str">
        <f t="shared" si="0"/>
        <v/>
      </c>
      <c r="C35" s="2"/>
      <c r="D35" s="2"/>
      <c r="E35" s="2"/>
      <c r="F35" s="2"/>
    </row>
    <row r="36" spans="1:6">
      <c r="A36" s="2"/>
      <c r="B36" t="str">
        <f t="shared" si="0"/>
        <v/>
      </c>
      <c r="C36" s="2"/>
      <c r="D36" s="2"/>
      <c r="E36" s="2"/>
      <c r="F36" s="2"/>
    </row>
    <row r="37" spans="1:6">
      <c r="A37" s="2"/>
      <c r="B37" t="str">
        <f t="shared" si="0"/>
        <v/>
      </c>
      <c r="C37" s="2"/>
      <c r="D37" s="2"/>
      <c r="E37" s="2"/>
      <c r="F37" s="2"/>
    </row>
    <row r="38" spans="1:6">
      <c r="A38" s="2"/>
      <c r="B38" t="str">
        <f t="shared" si="0"/>
        <v/>
      </c>
      <c r="C38" s="2"/>
      <c r="D38" s="2"/>
      <c r="E38" s="2"/>
      <c r="F38" s="2"/>
    </row>
    <row r="39" spans="1:6">
      <c r="A39" s="2"/>
      <c r="B39" t="str">
        <f t="shared" si="0"/>
        <v/>
      </c>
      <c r="C39" s="2"/>
      <c r="D39" s="2"/>
      <c r="E39" s="2"/>
      <c r="F39" s="2"/>
    </row>
    <row r="40" spans="1:6">
      <c r="A40" s="2"/>
      <c r="B40" t="str">
        <f t="shared" si="0"/>
        <v/>
      </c>
      <c r="C40" s="2"/>
      <c r="D40" s="2"/>
      <c r="E40" s="2"/>
      <c r="F40" s="2"/>
    </row>
    <row r="41" spans="1:6">
      <c r="A41" s="2"/>
      <c r="B41" t="str">
        <f t="shared" si="0"/>
        <v/>
      </c>
      <c r="C41" s="2"/>
      <c r="D41" s="2"/>
      <c r="E41" s="2"/>
      <c r="F41" s="2"/>
    </row>
    <row r="42" spans="1:6">
      <c r="A42" s="2"/>
      <c r="B42" t="str">
        <f t="shared" si="0"/>
        <v/>
      </c>
      <c r="C42" s="2"/>
      <c r="D42" s="2"/>
      <c r="E42" s="2"/>
      <c r="F42" s="2"/>
    </row>
    <row r="43" spans="1:6">
      <c r="A43" s="2"/>
      <c r="B43" t="str">
        <f t="shared" si="0"/>
        <v/>
      </c>
      <c r="C43" s="2"/>
      <c r="D43" s="2"/>
      <c r="E43" s="2"/>
      <c r="F43" s="2"/>
    </row>
    <row r="44" spans="1:6">
      <c r="A44" s="2"/>
      <c r="B44" t="str">
        <f t="shared" si="0"/>
        <v/>
      </c>
      <c r="C44" s="2"/>
      <c r="D44" s="2"/>
      <c r="E44" s="2"/>
      <c r="F44" s="2"/>
    </row>
    <row r="45" spans="1:6">
      <c r="A45" s="2"/>
      <c r="B45" t="str">
        <f t="shared" si="0"/>
        <v/>
      </c>
      <c r="C45" s="2"/>
      <c r="D45" s="2"/>
      <c r="E45" s="2"/>
      <c r="F45" s="2"/>
    </row>
    <row r="46" spans="1:6">
      <c r="A46" s="2"/>
      <c r="B46" t="str">
        <f t="shared" si="0"/>
        <v/>
      </c>
      <c r="C46" s="2"/>
      <c r="D46" s="2"/>
      <c r="E46" s="2"/>
      <c r="F46" s="2"/>
    </row>
    <row r="47" spans="1:6">
      <c r="A47" s="2"/>
      <c r="B47" t="str">
        <f t="shared" si="0"/>
        <v/>
      </c>
      <c r="C47" s="2"/>
      <c r="D47" s="2"/>
      <c r="E47" s="2"/>
      <c r="F47" s="2"/>
    </row>
    <row r="48" spans="1:6">
      <c r="A48" s="2"/>
      <c r="B48" t="str">
        <f t="shared" si="0"/>
        <v/>
      </c>
      <c r="C48" s="2"/>
      <c r="D48" s="2"/>
      <c r="E48" s="2"/>
      <c r="F48" s="2"/>
    </row>
    <row r="49" spans="1:6">
      <c r="A49" s="2"/>
      <c r="B49" t="str">
        <f t="shared" si="0"/>
        <v/>
      </c>
      <c r="C49" s="2"/>
      <c r="D49" s="2"/>
      <c r="E49" s="2"/>
      <c r="F49" s="2"/>
    </row>
    <row r="50" spans="1:6">
      <c r="A50" s="2"/>
      <c r="B50" t="str">
        <f t="shared" si="0"/>
        <v/>
      </c>
      <c r="C50" s="2"/>
      <c r="D50" s="2"/>
      <c r="E50" s="2"/>
      <c r="F50" s="2"/>
    </row>
    <row r="51" spans="1:6">
      <c r="A51" s="2"/>
      <c r="B51" t="str">
        <f t="shared" si="0"/>
        <v/>
      </c>
      <c r="C51" s="2"/>
      <c r="D51" s="2"/>
      <c r="E51" s="2"/>
      <c r="F51" s="2"/>
    </row>
    <row r="52" spans="1:6">
      <c r="A52" s="2"/>
      <c r="B52" t="str">
        <f t="shared" si="0"/>
        <v/>
      </c>
      <c r="C52" s="2"/>
      <c r="D52" s="2"/>
      <c r="E52" s="2"/>
      <c r="F52" s="2"/>
    </row>
    <row r="53" spans="1:6">
      <c r="A53" s="2"/>
      <c r="B53" t="str">
        <f t="shared" si="0"/>
        <v/>
      </c>
      <c r="C53" s="2"/>
      <c r="D53" s="2"/>
      <c r="E53" s="2"/>
      <c r="F53" s="2"/>
    </row>
    <row r="54" spans="1:6">
      <c r="A54" s="2"/>
      <c r="B54" t="str">
        <f t="shared" si="0"/>
        <v/>
      </c>
      <c r="C54" s="2"/>
      <c r="D54" s="2"/>
      <c r="E54" s="2"/>
      <c r="F54" s="2"/>
    </row>
    <row r="55" spans="1:6">
      <c r="A55" s="2"/>
      <c r="B55" t="str">
        <f t="shared" si="0"/>
        <v/>
      </c>
      <c r="C55" s="2"/>
      <c r="D55" s="2"/>
      <c r="E55" s="2"/>
      <c r="F55" s="2"/>
    </row>
    <row r="56" spans="1:6">
      <c r="A56" s="2"/>
      <c r="B56" t="str">
        <f t="shared" si="0"/>
        <v/>
      </c>
      <c r="C56" s="2"/>
      <c r="D56" s="2"/>
      <c r="E56" s="2"/>
      <c r="F56" s="2"/>
    </row>
    <row r="57" spans="1:6">
      <c r="A57" s="2"/>
      <c r="B57" t="str">
        <f t="shared" si="0"/>
        <v/>
      </c>
      <c r="C57" s="2"/>
      <c r="D57" s="2"/>
      <c r="E57" s="2"/>
      <c r="F57" s="2"/>
    </row>
    <row r="58" spans="1:6">
      <c r="A58" s="2"/>
      <c r="B58" t="str">
        <f t="shared" si="0"/>
        <v/>
      </c>
      <c r="C58" s="2"/>
      <c r="D58" s="2"/>
      <c r="E58" s="2"/>
      <c r="F58" s="2"/>
    </row>
    <row r="59" spans="1:6">
      <c r="A59" s="2"/>
      <c r="B59" t="str">
        <f t="shared" si="0"/>
        <v/>
      </c>
      <c r="C59" s="2"/>
      <c r="D59" s="2"/>
      <c r="E59" s="2"/>
      <c r="F59" s="2"/>
    </row>
    <row r="60" spans="1:6">
      <c r="A60" s="2"/>
      <c r="B60" t="str">
        <f t="shared" si="0"/>
        <v/>
      </c>
      <c r="C60" s="2"/>
      <c r="D60" s="2"/>
      <c r="E60" s="2"/>
      <c r="F60" s="2"/>
    </row>
    <row r="61" spans="1:6">
      <c r="A61" s="2"/>
      <c r="B61" t="str">
        <f t="shared" si="0"/>
        <v/>
      </c>
      <c r="C61" s="2"/>
      <c r="D61" s="2"/>
      <c r="E61" s="2"/>
      <c r="F61" s="2"/>
    </row>
    <row r="62" spans="1:6">
      <c r="A62" s="2"/>
      <c r="B62" t="str">
        <f t="shared" si="0"/>
        <v/>
      </c>
      <c r="C62" s="2"/>
      <c r="D62" s="2"/>
      <c r="E62" s="2"/>
      <c r="F62" s="2"/>
    </row>
    <row r="63" spans="1:6">
      <c r="A63" s="2"/>
      <c r="B63" t="str">
        <f t="shared" si="0"/>
        <v/>
      </c>
      <c r="C63" s="2"/>
      <c r="D63" s="2"/>
      <c r="E63" s="2"/>
      <c r="F63" s="2"/>
    </row>
    <row r="64" spans="1:6">
      <c r="A64" s="2"/>
      <c r="B64" t="str">
        <f t="shared" si="0"/>
        <v/>
      </c>
      <c r="C64" s="2"/>
      <c r="D64" s="2"/>
      <c r="E64" s="2"/>
      <c r="F64" s="2"/>
    </row>
    <row r="65" spans="1:6">
      <c r="A65" s="2"/>
      <c r="B65" t="str">
        <f t="shared" si="0"/>
        <v/>
      </c>
      <c r="C65" s="2"/>
      <c r="D65" s="2"/>
      <c r="E65" s="2"/>
      <c r="F65" s="2"/>
    </row>
    <row r="66" spans="1:6">
      <c r="A66" s="2"/>
      <c r="B66" t="str">
        <f t="shared" si="0"/>
        <v/>
      </c>
      <c r="C66" s="2"/>
      <c r="D66" s="2"/>
      <c r="E66" s="2"/>
      <c r="F66" s="2"/>
    </row>
    <row r="67" spans="1:6">
      <c r="A67" s="2"/>
      <c r="B67" t="str">
        <f t="shared" ref="B67" si="1">TRIM($A67)</f>
        <v/>
      </c>
      <c r="C67" s="2"/>
      <c r="D67" s="2"/>
      <c r="E67" s="2"/>
      <c r="F67" s="2"/>
    </row>
    <row r="70" spans="1:6">
      <c r="A70" s="2"/>
      <c r="B70" s="2"/>
      <c r="C70" s="2"/>
      <c r="D70" s="2"/>
      <c r="E70" s="2"/>
    </row>
    <row r="71" spans="1:6">
      <c r="A71" s="2"/>
      <c r="B71" s="2"/>
      <c r="C71" s="2"/>
      <c r="D71" s="2"/>
      <c r="E71" s="2"/>
    </row>
    <row r="72" spans="1:6">
      <c r="A72" s="2"/>
      <c r="B72" s="2"/>
      <c r="C72" s="2"/>
      <c r="D72" s="2"/>
      <c r="E72" s="2"/>
    </row>
    <row r="73" spans="1:6">
      <c r="A73" s="2"/>
      <c r="B73" s="2"/>
      <c r="C73" s="2"/>
      <c r="D73" s="2"/>
      <c r="E73" s="2"/>
    </row>
    <row r="74" spans="1:6">
      <c r="A74" s="2"/>
      <c r="B74" s="2"/>
      <c r="C74" s="2"/>
      <c r="D74" s="2"/>
      <c r="E74" s="2"/>
    </row>
    <row r="75" spans="1:6">
      <c r="A75" s="2"/>
      <c r="B75" s="2"/>
      <c r="C75" s="2"/>
      <c r="D75" s="2"/>
      <c r="E75" s="2"/>
    </row>
    <row r="76" spans="1:6">
      <c r="A76" s="2"/>
      <c r="B76" s="2"/>
      <c r="C76" s="2"/>
      <c r="D76" s="2"/>
      <c r="E76" s="2"/>
    </row>
    <row r="77" spans="1:6">
      <c r="A77" s="2"/>
      <c r="B77" s="2"/>
      <c r="C77" s="2"/>
      <c r="D77" s="2"/>
      <c r="E77" s="2"/>
    </row>
    <row r="78" spans="1:6">
      <c r="A78" s="2"/>
      <c r="B78" s="2"/>
      <c r="C78" s="2"/>
      <c r="D78" s="2"/>
      <c r="E78" s="2"/>
    </row>
  </sheetData>
  <sortState xmlns:xlrd2="http://schemas.microsoft.com/office/spreadsheetml/2017/richdata2" ref="A2:A67">
    <sortCondition ref="A2:A6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EE01-E22A-4A5B-AE04-ABBEC77F0040}">
  <dimension ref="A1:H155"/>
  <sheetViews>
    <sheetView topLeftCell="I8" workbookViewId="0">
      <selection activeCell="I8" sqref="I8"/>
    </sheetView>
  </sheetViews>
  <sheetFormatPr defaultRowHeight="15"/>
  <cols>
    <col min="1" max="1" width="35.7109375" bestFit="1" customWidth="1"/>
    <col min="2" max="2" width="11.28515625" bestFit="1" customWidth="1"/>
    <col min="3" max="3" width="17.85546875" bestFit="1" customWidth="1"/>
    <col min="4" max="4" width="28.5703125" bestFit="1" customWidth="1"/>
  </cols>
  <sheetData>
    <row r="1" spans="1:8">
      <c r="A1" s="1" t="s">
        <v>1</v>
      </c>
      <c r="B1" s="1" t="s">
        <v>2</v>
      </c>
      <c r="C1" s="1" t="s">
        <v>3</v>
      </c>
      <c r="D1" t="s">
        <v>4</v>
      </c>
    </row>
    <row r="2" spans="1:8">
      <c r="A2" t="s">
        <v>64</v>
      </c>
      <c r="B2" t="s">
        <v>65</v>
      </c>
      <c r="C2" t="s">
        <v>66</v>
      </c>
      <c r="D2" t="str">
        <f>_xlfn.CONCAT($A2,$B2)</f>
        <v>UL1519CMNGLA002OXNJ0038</v>
      </c>
      <c r="E2" t="str" cm="1">
        <f t="array" ref="E2:F2">VLOOKUP($D2,$A$90:$C$155,{2,3},FALSE)</f>
        <v>XTH</v>
      </c>
      <c r="F2">
        <v>1</v>
      </c>
      <c r="H2" t="b">
        <f>IF($C2=$E2,TRUE,FALSE)</f>
        <v>1</v>
      </c>
    </row>
    <row r="3" spans="1:8">
      <c r="A3" t="s">
        <v>67</v>
      </c>
      <c r="B3" t="s">
        <v>68</v>
      </c>
      <c r="C3" t="s">
        <v>66</v>
      </c>
      <c r="D3" t="str">
        <f t="shared" ref="D3:D66" si="0">_xlfn.CONCAT($A3,$B3)</f>
        <v>UL1919CEFIAA002EE000002</v>
      </c>
      <c r="E3" t="str" cm="1">
        <f t="array" ref="E3:F3">VLOOKUP($D3,$A$90:$C$155,{2,3},FALSE)</f>
        <v>XTH</v>
      </c>
      <c r="F3">
        <v>1</v>
      </c>
      <c r="H3" t="b">
        <f t="shared" ref="H3:H66" si="1">IF($C3=$E3,TRUE,FALSE)</f>
        <v>1</v>
      </c>
    </row>
    <row r="4" spans="1:8">
      <c r="A4" t="s">
        <v>69</v>
      </c>
      <c r="B4" t="s">
        <v>70</v>
      </c>
      <c r="C4" t="s">
        <v>71</v>
      </c>
      <c r="D4" t="str">
        <f t="shared" si="0"/>
        <v>UL1920SDCAGA002JA000015</v>
      </c>
      <c r="E4" t="str" cm="1">
        <f t="array" ref="E4:F4">VLOOKUP($D4,$A$90:$C$155,{2,3},FALSE)</f>
        <v>XTD</v>
      </c>
      <c r="F4">
        <v>1</v>
      </c>
      <c r="H4" t="b">
        <f t="shared" si="1"/>
        <v>1</v>
      </c>
    </row>
    <row r="5" spans="1:8">
      <c r="A5" t="s">
        <v>72</v>
      </c>
      <c r="B5" t="s">
        <v>73</v>
      </c>
      <c r="C5" t="s">
        <v>71</v>
      </c>
      <c r="D5" t="str">
        <f t="shared" si="0"/>
        <v>UL1920SDDAGA002JA000014</v>
      </c>
      <c r="E5" t="str" cm="1">
        <f t="array" ref="E5:F5">VLOOKUP($D5,$A$90:$C$155,{2,3},FALSE)</f>
        <v>XTD</v>
      </c>
      <c r="F5">
        <v>1</v>
      </c>
      <c r="H5" t="b">
        <f t="shared" si="1"/>
        <v>1</v>
      </c>
    </row>
    <row r="6" spans="1:8">
      <c r="A6" t="s">
        <v>74</v>
      </c>
      <c r="B6" t="s">
        <v>75</v>
      </c>
      <c r="C6" t="s">
        <v>76</v>
      </c>
      <c r="D6" t="str">
        <f t="shared" si="0"/>
        <v>UL2617FFASAA002ED000004</v>
      </c>
      <c r="E6" t="str" cm="1">
        <f t="array" ref="E6:F6">VLOOKUP($D6,$A$90:$C$155,{2,3},FALSE)</f>
        <v>XCG</v>
      </c>
      <c r="F6">
        <v>1</v>
      </c>
      <c r="H6" t="b">
        <f t="shared" si="1"/>
        <v>1</v>
      </c>
    </row>
    <row r="7" spans="1:8">
      <c r="A7" t="s">
        <v>77</v>
      </c>
      <c r="B7" t="s">
        <v>78</v>
      </c>
      <c r="C7" t="s">
        <v>76</v>
      </c>
      <c r="D7" t="str">
        <f t="shared" si="0"/>
        <v>UL2617FFFSAA002ED000003</v>
      </c>
      <c r="E7" t="str" cm="1">
        <f t="array" ref="E7:F7">VLOOKUP($D7,$A$90:$C$155,{2,3},FALSE)</f>
        <v>XCG</v>
      </c>
      <c r="F7">
        <v>1</v>
      </c>
      <c r="H7" t="b">
        <f t="shared" si="1"/>
        <v>1</v>
      </c>
    </row>
    <row r="8" spans="1:8">
      <c r="A8" t="s">
        <v>79</v>
      </c>
      <c r="B8" t="s">
        <v>80</v>
      </c>
      <c r="C8" t="s">
        <v>66</v>
      </c>
      <c r="D8" t="str">
        <f t="shared" si="0"/>
        <v>UL1047FBWNAA043IH000001</v>
      </c>
      <c r="E8" t="str" cm="1">
        <f t="array" ref="E8:F8">VLOOKUP($D8,$A$90:$C$155,{2,3},FALSE)</f>
        <v>XTH</v>
      </c>
      <c r="F8">
        <v>1</v>
      </c>
      <c r="H8" t="b">
        <f t="shared" si="1"/>
        <v>1</v>
      </c>
    </row>
    <row r="9" spans="1:8">
      <c r="A9" t="s">
        <v>81</v>
      </c>
      <c r="B9" t="s">
        <v>82</v>
      </c>
      <c r="C9" t="s">
        <v>66</v>
      </c>
      <c r="D9" t="str">
        <f t="shared" si="0"/>
        <v>UL0769FGATAA043IH000002</v>
      </c>
      <c r="E9" t="str" cm="1">
        <f t="array" ref="E9:F9">VLOOKUP($D9,$A$90:$C$155,{2,3},FALSE)</f>
        <v>XTH</v>
      </c>
      <c r="F9">
        <v>1</v>
      </c>
      <c r="H9" t="b">
        <f t="shared" si="1"/>
        <v>1</v>
      </c>
    </row>
    <row r="10" spans="1:8">
      <c r="A10" t="s">
        <v>83</v>
      </c>
      <c r="B10" t="s">
        <v>24</v>
      </c>
      <c r="C10" t="s">
        <v>71</v>
      </c>
      <c r="D10" t="str">
        <f t="shared" si="0"/>
        <v>UL0859DBAABA312JA000003</v>
      </c>
      <c r="E10" t="str" cm="1">
        <f t="array" ref="E10:F10">VLOOKUP($D10,$A$90:$C$155,{2,3},FALSE)</f>
        <v>XTD</v>
      </c>
      <c r="F10">
        <v>1</v>
      </c>
      <c r="H10" t="b">
        <f t="shared" si="1"/>
        <v>1</v>
      </c>
    </row>
    <row r="11" spans="1:8">
      <c r="A11" t="s">
        <v>84</v>
      </c>
      <c r="B11" t="s">
        <v>80</v>
      </c>
      <c r="C11" t="s">
        <v>71</v>
      </c>
      <c r="D11" t="str">
        <f t="shared" si="0"/>
        <v>UL1002FHCSAA043IH000001</v>
      </c>
      <c r="E11" t="str" cm="1">
        <f t="array" ref="E11:F11">VLOOKUP($D11,$A$90:$C$155,{2,3},FALSE)</f>
        <v>XTD</v>
      </c>
      <c r="F11">
        <v>1</v>
      </c>
      <c r="H11" t="b">
        <f t="shared" si="1"/>
        <v>1</v>
      </c>
    </row>
    <row r="12" spans="1:8">
      <c r="A12" t="s">
        <v>85</v>
      </c>
      <c r="B12" t="s">
        <v>26</v>
      </c>
      <c r="C12" t="s">
        <v>76</v>
      </c>
      <c r="D12" t="str">
        <f t="shared" si="0"/>
        <v>UL1002FILUAA022JA000005</v>
      </c>
      <c r="E12" t="str" cm="1">
        <f t="array" ref="E12:F12">VLOOKUP($D12,$A$90:$C$155,{2,3},FALSE)</f>
        <v>XCG</v>
      </c>
      <c r="F12">
        <v>1</v>
      </c>
      <c r="H12" t="b">
        <f t="shared" si="1"/>
        <v>1</v>
      </c>
    </row>
    <row r="13" spans="1:8">
      <c r="A13" t="s">
        <v>86</v>
      </c>
      <c r="B13" t="s">
        <v>87</v>
      </c>
      <c r="C13" t="s">
        <v>76</v>
      </c>
      <c r="D13" t="str">
        <f t="shared" si="0"/>
        <v>UL1002FIZMAA021BL000004</v>
      </c>
      <c r="E13" t="str" cm="1">
        <f t="array" ref="E13:F13">VLOOKUP($D13,$A$90:$C$155,{2,3},FALSE)</f>
        <v>XCG</v>
      </c>
      <c r="F13">
        <v>1</v>
      </c>
      <c r="H13" t="b">
        <f t="shared" si="1"/>
        <v>1</v>
      </c>
    </row>
    <row r="14" spans="1:8">
      <c r="A14" t="s">
        <v>88</v>
      </c>
      <c r="B14" t="s">
        <v>89</v>
      </c>
      <c r="C14" t="s">
        <v>66</v>
      </c>
      <c r="D14" t="str">
        <f t="shared" si="0"/>
        <v>UL3820DCOABAP12OXNJ0040</v>
      </c>
      <c r="E14" t="str" cm="1">
        <f t="array" ref="E14:F14">VLOOKUP($D14,$A$90:$C$155,{2,3},FALSE)</f>
        <v>XTH</v>
      </c>
      <c r="F14">
        <v>1</v>
      </c>
      <c r="H14" t="b">
        <f t="shared" si="1"/>
        <v>1</v>
      </c>
    </row>
    <row r="15" spans="1:8">
      <c r="A15" t="s">
        <v>90</v>
      </c>
      <c r="B15" t="s">
        <v>91</v>
      </c>
      <c r="C15" t="s">
        <v>66</v>
      </c>
      <c r="D15" t="str">
        <f t="shared" si="0"/>
        <v>UL3820JCQABAP12EA000008</v>
      </c>
      <c r="E15" t="str" cm="1">
        <f t="array" ref="E15:F15">VLOOKUP($D15,$A$90:$C$155,{2,3},FALSE)</f>
        <v>XTH</v>
      </c>
      <c r="F15">
        <v>1</v>
      </c>
      <c r="H15" t="b">
        <f t="shared" si="1"/>
        <v>1</v>
      </c>
    </row>
    <row r="16" spans="1:8">
      <c r="A16" t="s">
        <v>92</v>
      </c>
      <c r="B16" t="s">
        <v>93</v>
      </c>
      <c r="C16" t="s">
        <v>71</v>
      </c>
      <c r="D16" t="str">
        <f t="shared" si="0"/>
        <v>UL3820JCUABAP12EA000011</v>
      </c>
      <c r="E16" t="str" cm="1">
        <f t="array" ref="E16:F16">VLOOKUP($D16,$A$90:$C$155,{2,3},FALSE)</f>
        <v>XTD</v>
      </c>
      <c r="F16">
        <v>1</v>
      </c>
      <c r="H16" t="b">
        <f t="shared" si="1"/>
        <v>1</v>
      </c>
    </row>
    <row r="17" spans="1:8">
      <c r="A17" t="s">
        <v>94</v>
      </c>
      <c r="B17" t="s">
        <v>95</v>
      </c>
      <c r="C17" t="s">
        <v>71</v>
      </c>
      <c r="D17" t="str">
        <f t="shared" si="0"/>
        <v>UL3820SDCABAP12EA000012</v>
      </c>
      <c r="E17" t="str" cm="1">
        <f t="array" ref="E17:F17">VLOOKUP($D17,$A$90:$C$155,{2,3},FALSE)</f>
        <v>XTD</v>
      </c>
      <c r="F17">
        <v>1</v>
      </c>
      <c r="H17" t="b">
        <f t="shared" si="1"/>
        <v>1</v>
      </c>
    </row>
    <row r="18" spans="1:8">
      <c r="A18" t="s">
        <v>96</v>
      </c>
      <c r="B18" t="s">
        <v>97</v>
      </c>
      <c r="C18" t="s">
        <v>76</v>
      </c>
      <c r="D18" t="str">
        <f t="shared" si="0"/>
        <v>UP1160OUKAAAP12EB000001</v>
      </c>
      <c r="E18" t="str" cm="1">
        <f t="array" ref="E18:F18">VLOOKUP($D18,$A$90:$C$155,{2,3},FALSE)</f>
        <v>XCG</v>
      </c>
      <c r="F18">
        <v>1</v>
      </c>
      <c r="H18" t="b">
        <f t="shared" si="1"/>
        <v>1</v>
      </c>
    </row>
    <row r="19" spans="1:8">
      <c r="A19" t="s">
        <v>98</v>
      </c>
      <c r="B19" t="s">
        <v>99</v>
      </c>
      <c r="C19" t="s">
        <v>76</v>
      </c>
      <c r="D19" t="str">
        <f t="shared" si="0"/>
        <v>UP11931CEABAP12EE000004</v>
      </c>
      <c r="E19" t="str" cm="1">
        <f t="array" ref="E19:F19">VLOOKUP($D19,$A$90:$C$155,{2,3},FALSE)</f>
        <v>XCG</v>
      </c>
      <c r="F19">
        <v>1</v>
      </c>
      <c r="H19" t="b">
        <f t="shared" si="1"/>
        <v>1</v>
      </c>
    </row>
    <row r="20" spans="1:8">
      <c r="A20" t="s">
        <v>100</v>
      </c>
      <c r="B20" t="s">
        <v>22</v>
      </c>
      <c r="C20" t="s">
        <v>66</v>
      </c>
      <c r="D20" t="str">
        <f t="shared" si="0"/>
        <v>UL0926VHAABA122JA000013</v>
      </c>
      <c r="E20" t="str" cm="1">
        <f t="array" ref="E20:F20">VLOOKUP($D20,$A$90:$C$155,{2,3},FALSE)</f>
        <v>XTH</v>
      </c>
      <c r="F20">
        <v>1</v>
      </c>
      <c r="H20" t="b">
        <f t="shared" si="1"/>
        <v>1</v>
      </c>
    </row>
    <row r="21" spans="1:8">
      <c r="A21" t="s">
        <v>101</v>
      </c>
      <c r="B21" t="s">
        <v>22</v>
      </c>
      <c r="C21" t="s">
        <v>66</v>
      </c>
      <c r="D21" t="str">
        <f t="shared" si="0"/>
        <v>UL0495FMAOAA122JA000013</v>
      </c>
      <c r="E21" t="str" cm="1">
        <f t="array" ref="E21:F21">VLOOKUP($D21,$A$90:$C$155,{2,3},FALSE)</f>
        <v>XTH</v>
      </c>
      <c r="F21">
        <v>1</v>
      </c>
      <c r="H21" t="b">
        <f t="shared" si="1"/>
        <v>1</v>
      </c>
    </row>
    <row r="22" spans="1:8">
      <c r="A22" t="s">
        <v>102</v>
      </c>
      <c r="B22" t="s">
        <v>103</v>
      </c>
      <c r="C22" t="s">
        <v>71</v>
      </c>
      <c r="D22" t="str">
        <f t="shared" si="0"/>
        <v>UL1720FOZNAA182BD000004</v>
      </c>
      <c r="E22" t="str" cm="1">
        <f t="array" ref="E22:F22">VLOOKUP($D22,$A$90:$C$155,{2,3},FALSE)</f>
        <v>XTD</v>
      </c>
      <c r="F22">
        <v>1</v>
      </c>
      <c r="H22" t="b">
        <f t="shared" si="1"/>
        <v>1</v>
      </c>
    </row>
    <row r="23" spans="1:8">
      <c r="A23" t="s">
        <v>104</v>
      </c>
      <c r="B23" t="s">
        <v>105</v>
      </c>
      <c r="C23" t="s">
        <v>71</v>
      </c>
      <c r="D23" t="str">
        <f t="shared" si="0"/>
        <v>UL1720FPDLAA371BL000002</v>
      </c>
      <c r="E23" t="str" cm="1">
        <f t="array" ref="E23:F23">VLOOKUP($D23,$A$90:$C$155,{2,3},FALSE)</f>
        <v>XTD</v>
      </c>
      <c r="F23">
        <v>1</v>
      </c>
      <c r="H23" t="b">
        <f t="shared" si="1"/>
        <v>1</v>
      </c>
    </row>
    <row r="24" spans="1:8">
      <c r="A24" t="s">
        <v>106</v>
      </c>
      <c r="B24" t="s">
        <v>107</v>
      </c>
      <c r="C24" t="s">
        <v>76</v>
      </c>
      <c r="D24" t="str">
        <f t="shared" si="0"/>
        <v>UL4022FJBNAA122JA000008</v>
      </c>
      <c r="E24" t="str" cm="1">
        <f t="array" ref="E24:F24">VLOOKUP($D24,$A$90:$C$155,{2,3},FALSE)</f>
        <v>XCG</v>
      </c>
      <c r="F24">
        <v>1</v>
      </c>
      <c r="H24" t="b">
        <f t="shared" si="1"/>
        <v>1</v>
      </c>
    </row>
    <row r="25" spans="1:8">
      <c r="A25" t="s">
        <v>108</v>
      </c>
      <c r="B25" t="s">
        <v>105</v>
      </c>
      <c r="C25" t="s">
        <v>76</v>
      </c>
      <c r="D25" t="str">
        <f t="shared" si="0"/>
        <v>UP1096DDCABA181BL000002</v>
      </c>
      <c r="E25" t="str" cm="1">
        <f t="array" ref="E25:F25">VLOOKUP($D25,$A$90:$C$155,{2,3},FALSE)</f>
        <v>XCG</v>
      </c>
      <c r="F25">
        <v>1</v>
      </c>
      <c r="H25" t="b">
        <f t="shared" si="1"/>
        <v>1</v>
      </c>
    </row>
    <row r="26" spans="1:8">
      <c r="A26" t="s">
        <v>109</v>
      </c>
      <c r="B26" t="s">
        <v>110</v>
      </c>
      <c r="C26" t="s">
        <v>66</v>
      </c>
      <c r="D26" t="str">
        <f t="shared" si="0"/>
        <v>UPT445CBTMAACZ2EA000001</v>
      </c>
      <c r="E26" t="str" cm="1">
        <f t="array" ref="E26:F26">VLOOKUP($D26,$A$90:$C$155,{2,3},FALSE)</f>
        <v>XTH</v>
      </c>
      <c r="F26">
        <v>1</v>
      </c>
      <c r="H26" t="b">
        <f t="shared" si="1"/>
        <v>1</v>
      </c>
    </row>
    <row r="27" spans="1:8">
      <c r="A27" t="s">
        <v>111</v>
      </c>
      <c r="B27" t="s">
        <v>93</v>
      </c>
      <c r="C27" t="s">
        <v>66</v>
      </c>
      <c r="D27" t="str">
        <f t="shared" si="0"/>
        <v>UPF1D1DFFAGACZ2EA000011</v>
      </c>
      <c r="E27" t="str" cm="1">
        <f t="array" ref="E27:F27">VLOOKUP($D27,$A$90:$C$155,{2,3},FALSE)</f>
        <v>XTH</v>
      </c>
      <c r="F27">
        <v>1</v>
      </c>
      <c r="H27" t="b">
        <f t="shared" si="1"/>
        <v>1</v>
      </c>
    </row>
    <row r="28" spans="1:8">
      <c r="A28" t="s">
        <v>112</v>
      </c>
      <c r="B28" t="s">
        <v>113</v>
      </c>
      <c r="C28" t="s">
        <v>71</v>
      </c>
      <c r="D28" t="str">
        <f t="shared" si="0"/>
        <v>UP4021CBXMOACZ2EA000003</v>
      </c>
      <c r="E28" t="str" cm="1">
        <f t="array" ref="E28:F28">VLOOKUP($D28,$A$90:$C$155,{2,3},FALSE)</f>
        <v>XTD</v>
      </c>
      <c r="F28">
        <v>1</v>
      </c>
      <c r="H28" t="b">
        <f t="shared" si="1"/>
        <v>1</v>
      </c>
    </row>
    <row r="29" spans="1:8">
      <c r="A29" t="s">
        <v>114</v>
      </c>
      <c r="B29" t="s">
        <v>115</v>
      </c>
      <c r="C29" t="s">
        <v>71</v>
      </c>
      <c r="D29" t="str">
        <f t="shared" si="0"/>
        <v>UPF1D1SEBAGACZ2EA000009</v>
      </c>
      <c r="E29" t="str" cm="1">
        <f t="array" ref="E29:F29">VLOOKUP($D29,$A$90:$C$155,{2,3},FALSE)</f>
        <v>XTD</v>
      </c>
      <c r="F29">
        <v>1</v>
      </c>
      <c r="H29" t="b">
        <f t="shared" si="1"/>
        <v>1</v>
      </c>
    </row>
    <row r="30" spans="1:8">
      <c r="A30" t="s">
        <v>116</v>
      </c>
      <c r="B30" t="s">
        <v>91</v>
      </c>
      <c r="C30" t="s">
        <v>76</v>
      </c>
      <c r="D30" t="str">
        <f t="shared" si="0"/>
        <v>UPF1D1SECAGACZ2EA000008</v>
      </c>
      <c r="E30" t="str" cm="1">
        <f t="array" ref="E30:F30">VLOOKUP($D30,$A$90:$C$155,{2,3},FALSE)</f>
        <v>XCG</v>
      </c>
      <c r="F30">
        <v>1</v>
      </c>
      <c r="H30" t="b">
        <f t="shared" si="1"/>
        <v>1</v>
      </c>
    </row>
    <row r="31" spans="1:8">
      <c r="A31" t="s">
        <v>117</v>
      </c>
      <c r="B31" t="s">
        <v>118</v>
      </c>
      <c r="C31" t="s">
        <v>76</v>
      </c>
      <c r="D31" t="str">
        <f t="shared" si="0"/>
        <v>UPF1D1SEKAGACZ2EA000015</v>
      </c>
      <c r="E31" t="str" cm="1">
        <f t="array" ref="E31:F31">VLOOKUP($D31,$A$90:$C$155,{2,3},FALSE)</f>
        <v>XCG</v>
      </c>
      <c r="F31">
        <v>1</v>
      </c>
      <c r="H31" t="b">
        <f t="shared" si="1"/>
        <v>1</v>
      </c>
    </row>
    <row r="32" spans="1:8">
      <c r="A32" t="s">
        <v>119</v>
      </c>
      <c r="B32" t="s">
        <v>120</v>
      </c>
      <c r="C32" t="s">
        <v>66</v>
      </c>
      <c r="D32" t="str">
        <f t="shared" si="0"/>
        <v>UT1786FCLSAA002BD000009</v>
      </c>
      <c r="E32" t="str" cm="1">
        <f t="array" ref="E32:F32">VLOOKUP($D32,$A$90:$C$155,{2,3},FALSE)</f>
        <v>XTH</v>
      </c>
      <c r="F32">
        <v>1</v>
      </c>
      <c r="H32" t="b">
        <f t="shared" si="1"/>
        <v>1</v>
      </c>
    </row>
    <row r="33" spans="1:8">
      <c r="A33" t="s">
        <v>121</v>
      </c>
      <c r="B33" t="s">
        <v>122</v>
      </c>
      <c r="C33" t="s">
        <v>66</v>
      </c>
      <c r="D33" t="str">
        <f t="shared" si="0"/>
        <v>UT2013FCBSAA042BD000005</v>
      </c>
      <c r="E33" t="str" cm="1">
        <f t="array" ref="E33:F33">VLOOKUP($D33,$A$90:$C$155,{2,3},FALSE)</f>
        <v>XTH</v>
      </c>
      <c r="F33">
        <v>1</v>
      </c>
      <c r="H33" t="b">
        <f t="shared" si="1"/>
        <v>1</v>
      </c>
    </row>
    <row r="34" spans="1:8">
      <c r="A34" t="s">
        <v>123</v>
      </c>
      <c r="B34" t="s">
        <v>122</v>
      </c>
      <c r="C34" t="s">
        <v>71</v>
      </c>
      <c r="D34" t="str">
        <f t="shared" si="0"/>
        <v>UT3115FAOLAA042BD000005</v>
      </c>
      <c r="E34" t="str" cm="1">
        <f t="array" ref="E34:F34">VLOOKUP($D34,$A$90:$C$155,{2,3},FALSE)</f>
        <v>XTD</v>
      </c>
      <c r="F34">
        <v>1</v>
      </c>
      <c r="H34" t="b">
        <f t="shared" si="1"/>
        <v>1</v>
      </c>
    </row>
    <row r="35" spans="1:8">
      <c r="A35" t="s">
        <v>124</v>
      </c>
      <c r="B35" t="s">
        <v>125</v>
      </c>
      <c r="C35" t="s">
        <v>71</v>
      </c>
      <c r="D35" t="str">
        <f t="shared" si="0"/>
        <v>UT2013FFZOAA002BD000006</v>
      </c>
      <c r="E35" t="str" cm="1">
        <f t="array" ref="E35:F35">VLOOKUP($D35,$A$90:$C$155,{2,3},FALSE)</f>
        <v>XTD</v>
      </c>
      <c r="F35">
        <v>1</v>
      </c>
      <c r="H35" t="b">
        <f t="shared" si="1"/>
        <v>1</v>
      </c>
    </row>
    <row r="36" spans="1:8">
      <c r="A36" t="s">
        <v>126</v>
      </c>
      <c r="B36" t="s">
        <v>127</v>
      </c>
      <c r="C36" t="s">
        <v>76</v>
      </c>
      <c r="D36" t="str">
        <f t="shared" si="0"/>
        <v>UT3115FAPRAA042BD000010</v>
      </c>
      <c r="E36" t="str" cm="1">
        <f t="array" ref="E36:F36">VLOOKUP($D36,$A$90:$C$155,{2,3},FALSE)</f>
        <v>XCG</v>
      </c>
      <c r="F36">
        <v>1</v>
      </c>
      <c r="H36" t="b">
        <f t="shared" si="1"/>
        <v>1</v>
      </c>
    </row>
    <row r="37" spans="1:8">
      <c r="A37" t="s">
        <v>128</v>
      </c>
      <c r="B37" t="s">
        <v>127</v>
      </c>
      <c r="C37" t="s">
        <v>76</v>
      </c>
      <c r="D37" t="str">
        <f t="shared" si="0"/>
        <v>UT1188FTBSAA002BD000010</v>
      </c>
      <c r="E37" t="str" cm="1">
        <f t="array" ref="E37:F37">VLOOKUP($D37,$A$90:$C$155,{2,3},FALSE)</f>
        <v>XCG</v>
      </c>
      <c r="F37">
        <v>1</v>
      </c>
      <c r="H37" t="b">
        <f t="shared" si="1"/>
        <v>1</v>
      </c>
    </row>
    <row r="38" spans="1:8">
      <c r="A38" t="s">
        <v>129</v>
      </c>
      <c r="B38" t="s">
        <v>130</v>
      </c>
      <c r="C38" t="s">
        <v>66</v>
      </c>
      <c r="D38" t="str">
        <f t="shared" si="0"/>
        <v>UL0553VKAR2A022BA000003</v>
      </c>
      <c r="E38" t="str" cm="1">
        <f t="array" ref="E38:F38">VLOOKUP($D38,$A$90:$C$155,{2,3},FALSE)</f>
        <v>XTH</v>
      </c>
      <c r="F38">
        <v>1</v>
      </c>
      <c r="H38" t="b">
        <f t="shared" si="1"/>
        <v>1</v>
      </c>
    </row>
    <row r="39" spans="1:8">
      <c r="A39" t="s">
        <v>131</v>
      </c>
      <c r="B39" t="s">
        <v>132</v>
      </c>
      <c r="C39" t="s">
        <v>66</v>
      </c>
      <c r="D39" t="str">
        <f t="shared" si="0"/>
        <v>UL1163VIAR1A041BL000006</v>
      </c>
      <c r="E39" t="str" cm="1">
        <f t="array" ref="E39:F39">VLOOKUP($D39,$A$90:$C$155,{2,3},FALSE)</f>
        <v>XTH</v>
      </c>
      <c r="F39">
        <v>1</v>
      </c>
      <c r="H39" t="b">
        <f t="shared" si="1"/>
        <v>1</v>
      </c>
    </row>
    <row r="40" spans="1:8">
      <c r="A40" t="s">
        <v>133</v>
      </c>
      <c r="B40" t="s">
        <v>134</v>
      </c>
      <c r="C40" t="s">
        <v>71</v>
      </c>
      <c r="D40" t="str">
        <f t="shared" si="0"/>
        <v>UL1095BSFFAA042JD000004</v>
      </c>
      <c r="E40" t="str" cm="1">
        <f t="array" ref="E40:F40">VLOOKUP($D40,$A$90:$C$155,{2,3},FALSE)</f>
        <v>XTD</v>
      </c>
      <c r="F40">
        <v>1</v>
      </c>
      <c r="H40" t="b">
        <f t="shared" si="1"/>
        <v>1</v>
      </c>
    </row>
    <row r="41" spans="1:8">
      <c r="A41" t="s">
        <v>135</v>
      </c>
      <c r="B41" t="s">
        <v>136</v>
      </c>
      <c r="C41" t="s">
        <v>71</v>
      </c>
      <c r="D41" t="str">
        <f t="shared" si="0"/>
        <v>UL1153VFAR1A021BL000005</v>
      </c>
      <c r="E41" t="str" cm="1">
        <f t="array" ref="E41:F41">VLOOKUP($D41,$A$90:$C$155,{2,3},FALSE)</f>
        <v>XTD</v>
      </c>
      <c r="F41">
        <v>1</v>
      </c>
      <c r="H41" t="b">
        <f t="shared" si="1"/>
        <v>1</v>
      </c>
    </row>
    <row r="42" spans="1:8">
      <c r="A42" t="s">
        <v>137</v>
      </c>
      <c r="B42" t="s">
        <v>136</v>
      </c>
      <c r="C42" t="s">
        <v>76</v>
      </c>
      <c r="D42" t="str">
        <f t="shared" si="0"/>
        <v>UL1153VFIR1A011BL000005</v>
      </c>
      <c r="E42" t="str" cm="1">
        <f t="array" ref="E42:F42">VLOOKUP($D42,$A$90:$C$155,{2,3},FALSE)</f>
        <v>XCG</v>
      </c>
      <c r="F42">
        <v>1</v>
      </c>
      <c r="H42" t="b">
        <f t="shared" si="1"/>
        <v>1</v>
      </c>
    </row>
    <row r="43" spans="1:8">
      <c r="A43" t="s">
        <v>138</v>
      </c>
      <c r="B43" t="s">
        <v>136</v>
      </c>
      <c r="C43" t="s">
        <v>76</v>
      </c>
      <c r="D43" t="str">
        <f t="shared" si="0"/>
        <v>UL1153VFZT1A021BL000005</v>
      </c>
      <c r="E43" t="str" cm="1">
        <f t="array" ref="E43:F43">VLOOKUP($D43,$A$90:$C$155,{2,3},FALSE)</f>
        <v>XCG</v>
      </c>
      <c r="F43">
        <v>1</v>
      </c>
      <c r="H43" t="b">
        <f t="shared" si="1"/>
        <v>1</v>
      </c>
    </row>
    <row r="44" spans="1:8">
      <c r="A44" t="s">
        <v>139</v>
      </c>
      <c r="B44" t="s">
        <v>24</v>
      </c>
      <c r="C44" t="s">
        <v>66</v>
      </c>
      <c r="D44" t="str">
        <f t="shared" si="0"/>
        <v>UL2923FZQSAA002JA000003</v>
      </c>
      <c r="E44" t="str" cm="1">
        <f t="array" ref="E44:F44">VLOOKUP($D44,$A$90:$C$155,{2,3},FALSE)</f>
        <v>XTH</v>
      </c>
      <c r="F44">
        <v>1</v>
      </c>
      <c r="H44" t="b">
        <f t="shared" si="1"/>
        <v>1</v>
      </c>
    </row>
    <row r="45" spans="1:8">
      <c r="A45" t="s">
        <v>140</v>
      </c>
      <c r="B45" t="s">
        <v>16</v>
      </c>
      <c r="C45" t="s">
        <v>66</v>
      </c>
      <c r="D45" t="str">
        <f t="shared" si="0"/>
        <v>UL2923FZRLAA002JA000004</v>
      </c>
      <c r="E45" t="str" cm="1">
        <f t="array" ref="E45:F45">VLOOKUP($D45,$A$90:$C$155,{2,3},FALSE)</f>
        <v>XTH</v>
      </c>
      <c r="F45">
        <v>1</v>
      </c>
      <c r="H45" t="b">
        <f t="shared" si="1"/>
        <v>1</v>
      </c>
    </row>
    <row r="46" spans="1:8">
      <c r="A46" t="s">
        <v>141</v>
      </c>
      <c r="B46" t="s">
        <v>16</v>
      </c>
      <c r="C46" t="s">
        <v>71</v>
      </c>
      <c r="D46" t="str">
        <f t="shared" si="0"/>
        <v>UL2923FZVSAA002JA000004</v>
      </c>
      <c r="E46" t="str" cm="1">
        <f t="array" ref="E46:F46">VLOOKUP($D46,$A$90:$C$155,{2,3},FALSE)</f>
        <v>XTD</v>
      </c>
      <c r="F46">
        <v>1</v>
      </c>
      <c r="H46" t="b">
        <f t="shared" si="1"/>
        <v>1</v>
      </c>
    </row>
    <row r="47" spans="1:8">
      <c r="A47" t="s">
        <v>142</v>
      </c>
      <c r="B47" t="s">
        <v>143</v>
      </c>
      <c r="C47" t="s">
        <v>71</v>
      </c>
      <c r="D47" t="str">
        <f t="shared" si="0"/>
        <v>UL2923FZNSAA002JA000002</v>
      </c>
      <c r="E47" t="str" cm="1">
        <f t="array" ref="E47:F47">VLOOKUP($D47,$A$90:$C$155,{2,3},FALSE)</f>
        <v>XTD</v>
      </c>
      <c r="F47">
        <v>1</v>
      </c>
      <c r="H47" t="b">
        <f t="shared" si="1"/>
        <v>1</v>
      </c>
    </row>
    <row r="48" spans="1:8">
      <c r="A48" t="s">
        <v>144</v>
      </c>
      <c r="B48" t="s">
        <v>145</v>
      </c>
      <c r="C48" t="s">
        <v>76</v>
      </c>
      <c r="D48" t="str">
        <f t="shared" si="0"/>
        <v>UL2923FZPLAA002JA000001</v>
      </c>
      <c r="E48" t="str" cm="1">
        <f t="array" ref="E48:F48">VLOOKUP($D48,$A$90:$C$155,{2,3},FALSE)</f>
        <v>XCG</v>
      </c>
      <c r="F48">
        <v>1</v>
      </c>
      <c r="H48" t="b">
        <f t="shared" si="1"/>
        <v>1</v>
      </c>
    </row>
    <row r="49" spans="1:8">
      <c r="A49" t="s">
        <v>146</v>
      </c>
      <c r="B49" t="s">
        <v>16</v>
      </c>
      <c r="C49" t="s">
        <v>76</v>
      </c>
      <c r="D49" t="str">
        <f t="shared" si="0"/>
        <v>UL2923FZPSAA002JA000004</v>
      </c>
      <c r="E49" t="str" cm="1">
        <f t="array" ref="E49:F49">VLOOKUP($D49,$A$90:$C$155,{2,3},FALSE)</f>
        <v>XCG</v>
      </c>
      <c r="F49">
        <v>1</v>
      </c>
      <c r="H49" t="b">
        <f t="shared" si="1"/>
        <v>1</v>
      </c>
    </row>
    <row r="50" spans="1:8">
      <c r="A50" t="s">
        <v>147</v>
      </c>
      <c r="B50" t="s">
        <v>148</v>
      </c>
      <c r="C50" t="s">
        <v>66</v>
      </c>
      <c r="D50" t="str">
        <f t="shared" si="0"/>
        <v>UP1250YHTEAA002ED000009</v>
      </c>
      <c r="E50" t="str" cm="1">
        <f t="array" ref="E50:F50">VLOOKUP($D50,$A$90:$C$155,{2,3},FALSE)</f>
        <v>XTH</v>
      </c>
      <c r="F50">
        <v>1</v>
      </c>
      <c r="H50" t="b">
        <f t="shared" si="1"/>
        <v>1</v>
      </c>
    </row>
    <row r="51" spans="1:8">
      <c r="A51" t="s">
        <v>149</v>
      </c>
      <c r="B51" t="s">
        <v>148</v>
      </c>
      <c r="C51" t="s">
        <v>66</v>
      </c>
      <c r="D51" t="str">
        <f t="shared" si="0"/>
        <v>UP1250YHZEAA002ED000009</v>
      </c>
      <c r="E51" t="str" cm="1">
        <f t="array" ref="E51:F51">VLOOKUP($D51,$A$90:$C$155,{2,3},FALSE)</f>
        <v>XTH</v>
      </c>
      <c r="F51">
        <v>1</v>
      </c>
      <c r="H51" t="b">
        <f t="shared" si="1"/>
        <v>1</v>
      </c>
    </row>
    <row r="52" spans="1:8">
      <c r="A52" t="s">
        <v>150</v>
      </c>
      <c r="B52" t="s">
        <v>115</v>
      </c>
      <c r="C52" t="s">
        <v>71</v>
      </c>
      <c r="D52" t="str">
        <f t="shared" si="0"/>
        <v>UP1048YJRGAA002EA000009</v>
      </c>
      <c r="E52" t="str" cm="1">
        <f t="array" ref="E52:F52">VLOOKUP($D52,$A$90:$C$155,{2,3},FALSE)</f>
        <v>XTD</v>
      </c>
      <c r="F52">
        <v>1</v>
      </c>
      <c r="H52" t="b">
        <f t="shared" si="1"/>
        <v>1</v>
      </c>
    </row>
    <row r="53" spans="1:8">
      <c r="A53" t="s">
        <v>151</v>
      </c>
      <c r="B53" t="s">
        <v>152</v>
      </c>
      <c r="C53" t="s">
        <v>71</v>
      </c>
      <c r="D53" t="str">
        <f t="shared" si="0"/>
        <v>UP1154YMEGAA002EA000004</v>
      </c>
      <c r="E53" t="str" cm="1">
        <f t="array" ref="E53:F53">VLOOKUP($D53,$A$90:$C$155,{2,3},FALSE)</f>
        <v>XTD</v>
      </c>
      <c r="F53">
        <v>1</v>
      </c>
      <c r="H53" t="b">
        <f t="shared" si="1"/>
        <v>1</v>
      </c>
    </row>
    <row r="54" spans="1:8">
      <c r="A54" t="s">
        <v>153</v>
      </c>
      <c r="B54" t="s">
        <v>154</v>
      </c>
      <c r="C54" t="s">
        <v>76</v>
      </c>
      <c r="D54" t="str">
        <f t="shared" si="0"/>
        <v>UP2018YWNGAA002ED000010</v>
      </c>
      <c r="E54" t="str" cm="1">
        <f t="array" ref="E54:F54">VLOOKUP($D54,$A$90:$C$155,{2,3},FALSE)</f>
        <v>XCG</v>
      </c>
      <c r="F54">
        <v>1</v>
      </c>
      <c r="H54" t="b">
        <f t="shared" si="1"/>
        <v>1</v>
      </c>
    </row>
    <row r="55" spans="1:8">
      <c r="A55" t="s">
        <v>155</v>
      </c>
      <c r="B55" t="s">
        <v>156</v>
      </c>
      <c r="C55" t="s">
        <v>76</v>
      </c>
      <c r="D55" t="str">
        <f t="shared" si="0"/>
        <v>UP2115YWAGAA002ED000012</v>
      </c>
      <c r="E55" t="str" cm="1">
        <f t="array" ref="E55:F55">VLOOKUP($D55,$A$90:$C$155,{2,3},FALSE)</f>
        <v>XCG</v>
      </c>
      <c r="F55">
        <v>1</v>
      </c>
      <c r="H55" t="b">
        <f t="shared" si="1"/>
        <v>1</v>
      </c>
    </row>
    <row r="56" spans="1:8">
      <c r="A56" t="s">
        <v>157</v>
      </c>
      <c r="B56" t="s">
        <v>110</v>
      </c>
      <c r="C56" t="s">
        <v>66</v>
      </c>
      <c r="D56" t="str">
        <f t="shared" si="0"/>
        <v>UL38201DPABAP32EA000001</v>
      </c>
      <c r="E56" t="str" cm="1">
        <f t="array" ref="E56:F56">VLOOKUP($D56,$A$90:$C$155,{2,3},FALSE)</f>
        <v>XTH</v>
      </c>
      <c r="F56">
        <v>1</v>
      </c>
      <c r="H56" t="b">
        <f t="shared" si="1"/>
        <v>1</v>
      </c>
    </row>
    <row r="57" spans="1:8">
      <c r="A57" t="s">
        <v>158</v>
      </c>
      <c r="B57" t="s">
        <v>159</v>
      </c>
      <c r="C57" t="s">
        <v>66</v>
      </c>
      <c r="D57" t="str">
        <f t="shared" si="0"/>
        <v>UL3820VDFQ2AP32BA000005</v>
      </c>
      <c r="E57" t="str" cm="1">
        <f t="array" ref="E57:F57">VLOOKUP($D57,$A$90:$C$155,{2,3},FALSE)</f>
        <v>XTH</v>
      </c>
      <c r="F57">
        <v>1</v>
      </c>
      <c r="H57" t="b">
        <f t="shared" si="1"/>
        <v>1</v>
      </c>
    </row>
    <row r="58" spans="1:8">
      <c r="A58" t="s">
        <v>160</v>
      </c>
      <c r="B58" t="s">
        <v>93</v>
      </c>
      <c r="C58" t="s">
        <v>71</v>
      </c>
      <c r="D58" t="str">
        <f t="shared" si="0"/>
        <v>UL3820VDIQ2AP32EA000011</v>
      </c>
      <c r="E58" t="str" cm="1">
        <f t="array" ref="E58:F58">VLOOKUP($D58,$A$90:$C$155,{2,3},FALSE)</f>
        <v>XTD</v>
      </c>
      <c r="F58">
        <v>1</v>
      </c>
      <c r="H58" t="b">
        <f t="shared" si="1"/>
        <v>1</v>
      </c>
    </row>
    <row r="59" spans="1:8">
      <c r="A59" t="s">
        <v>161</v>
      </c>
      <c r="B59" t="s">
        <v>152</v>
      </c>
      <c r="C59" t="s">
        <v>71</v>
      </c>
      <c r="D59" t="str">
        <f t="shared" si="0"/>
        <v>UP20202AS1BAP32EA000004</v>
      </c>
      <c r="E59" t="str" cm="1">
        <f t="array" ref="E59:F59">VLOOKUP($D59,$A$90:$C$155,{2,3},FALSE)</f>
        <v>XTD</v>
      </c>
      <c r="F59">
        <v>1</v>
      </c>
      <c r="H59" t="b">
        <f t="shared" si="1"/>
        <v>1</v>
      </c>
    </row>
    <row r="60" spans="1:8">
      <c r="A60" t="s">
        <v>162</v>
      </c>
      <c r="B60" t="s">
        <v>163</v>
      </c>
      <c r="C60" t="s">
        <v>76</v>
      </c>
      <c r="D60" t="str">
        <f t="shared" si="0"/>
        <v>UP3217FDRNAAP32EB000008</v>
      </c>
      <c r="E60" t="str" cm="1">
        <f t="array" ref="E60:F60">VLOOKUP($D60,$A$90:$C$155,{2,3},FALSE)</f>
        <v>XCG</v>
      </c>
      <c r="F60">
        <v>1</v>
      </c>
      <c r="H60" t="b">
        <f t="shared" si="1"/>
        <v>1</v>
      </c>
    </row>
    <row r="61" spans="1:8">
      <c r="A61" t="s">
        <v>164</v>
      </c>
      <c r="B61" t="s">
        <v>163</v>
      </c>
      <c r="C61" t="s">
        <v>76</v>
      </c>
      <c r="D61" t="str">
        <f t="shared" si="0"/>
        <v>UP3217FDSOAAP32EB000008</v>
      </c>
      <c r="E61" t="str" cm="1">
        <f t="array" ref="E61:F61">VLOOKUP($D61,$A$90:$C$155,{2,3},FALSE)</f>
        <v>XCG</v>
      </c>
      <c r="F61">
        <v>1</v>
      </c>
      <c r="H61" t="b">
        <f t="shared" si="1"/>
        <v>1</v>
      </c>
    </row>
    <row r="62" spans="1:8">
      <c r="A62" t="s">
        <v>165</v>
      </c>
      <c r="B62" t="s">
        <v>166</v>
      </c>
      <c r="C62" t="s">
        <v>66</v>
      </c>
      <c r="D62" t="str">
        <f t="shared" si="0"/>
        <v>UL32191HKABAP51BL000001</v>
      </c>
      <c r="E62" t="str" cm="1">
        <f t="array" ref="E62:F62">VLOOKUP($D62,$A$90:$C$155,{2,3},FALSE)</f>
        <v>XTH</v>
      </c>
      <c r="F62">
        <v>1</v>
      </c>
      <c r="H62" t="b">
        <f t="shared" si="1"/>
        <v>1</v>
      </c>
    </row>
    <row r="63" spans="1:8">
      <c r="A63" t="s">
        <v>167</v>
      </c>
      <c r="B63" t="s">
        <v>168</v>
      </c>
      <c r="C63" t="s">
        <v>66</v>
      </c>
      <c r="D63" t="str">
        <f t="shared" si="0"/>
        <v>UP5060VLBS2AP52BA000002</v>
      </c>
      <c r="E63" t="str" cm="1">
        <f t="array" ref="E63:F63">VLOOKUP($D63,$A$90:$C$155,{2,3},FALSE)</f>
        <v>XTH</v>
      </c>
      <c r="F63">
        <v>1</v>
      </c>
      <c r="H63" t="b">
        <f t="shared" si="1"/>
        <v>1</v>
      </c>
    </row>
    <row r="64" spans="1:8">
      <c r="A64" t="s">
        <v>169</v>
      </c>
      <c r="B64" t="s">
        <v>130</v>
      </c>
      <c r="C64" t="s">
        <v>71</v>
      </c>
      <c r="D64" t="str">
        <f t="shared" si="0"/>
        <v>UP5060VJDR2AP52BA000003</v>
      </c>
      <c r="E64" t="str" cm="1">
        <f t="array" ref="E64:F64">VLOOKUP($D64,$A$90:$C$155,{2,3},FALSE)</f>
        <v>XTD</v>
      </c>
      <c r="F64">
        <v>1</v>
      </c>
      <c r="H64" t="b">
        <f t="shared" si="1"/>
        <v>1</v>
      </c>
    </row>
    <row r="65" spans="1:8">
      <c r="A65" t="s">
        <v>170</v>
      </c>
      <c r="B65" t="s">
        <v>130</v>
      </c>
      <c r="C65" t="s">
        <v>71</v>
      </c>
      <c r="D65" t="str">
        <f t="shared" si="0"/>
        <v>UP5060VJHR2AP52BA000003</v>
      </c>
      <c r="E65" t="str" cm="1">
        <f t="array" ref="E65:F65">VLOOKUP($D65,$A$90:$C$155,{2,3},FALSE)</f>
        <v>XTD</v>
      </c>
      <c r="F65">
        <v>1</v>
      </c>
      <c r="H65" t="b">
        <f t="shared" si="1"/>
        <v>1</v>
      </c>
    </row>
    <row r="66" spans="1:8">
      <c r="A66" t="s">
        <v>171</v>
      </c>
      <c r="B66" t="s">
        <v>166</v>
      </c>
      <c r="C66" t="s">
        <v>76</v>
      </c>
      <c r="D66" t="str">
        <f t="shared" si="0"/>
        <v>UP5060VJLR2AP51BL000001</v>
      </c>
      <c r="E66" t="str" cm="1">
        <f t="array" ref="E66:F66">VLOOKUP($D66,$A$90:$C$155,{2,3},FALSE)</f>
        <v>XCG</v>
      </c>
      <c r="F66">
        <v>1</v>
      </c>
      <c r="H66" t="b">
        <f t="shared" si="1"/>
        <v>1</v>
      </c>
    </row>
    <row r="67" spans="1:8">
      <c r="A67" t="s">
        <v>172</v>
      </c>
      <c r="B67" t="s">
        <v>105</v>
      </c>
      <c r="C67" t="s">
        <v>76</v>
      </c>
      <c r="D67" t="str">
        <f t="shared" ref="D67" si="2">_xlfn.CONCAT($A67,$B67)</f>
        <v>UP5060VKWR2AP51BL000002</v>
      </c>
      <c r="E67" t="str" cm="1">
        <f t="array" ref="E67:F67">VLOOKUP($D67,$A$90:$C$155,{2,3},FALSE)</f>
        <v>XCG</v>
      </c>
      <c r="F67">
        <v>1</v>
      </c>
      <c r="H67" t="b">
        <f t="shared" ref="H67" si="3">IF($C67=$E67,TRUE,FALSE)</f>
        <v>1</v>
      </c>
    </row>
    <row r="90" spans="1:4">
      <c r="A90" t="s">
        <v>173</v>
      </c>
      <c r="B90" t="s">
        <v>66</v>
      </c>
      <c r="C90">
        <v>1</v>
      </c>
      <c r="D90" t="str">
        <f>TRIM($A90)</f>
        <v>UL0495FMAOAA122JA000013</v>
      </c>
    </row>
    <row r="91" spans="1:4">
      <c r="A91" t="s">
        <v>174</v>
      </c>
      <c r="B91" t="s">
        <v>66</v>
      </c>
      <c r="C91">
        <v>1</v>
      </c>
      <c r="D91" t="str">
        <f t="shared" ref="D91:D154" si="4">TRIM($A91)</f>
        <v>UL0553VKAR2A022BA000003</v>
      </c>
    </row>
    <row r="92" spans="1:4">
      <c r="A92" t="s">
        <v>175</v>
      </c>
      <c r="B92" t="s">
        <v>66</v>
      </c>
      <c r="C92">
        <v>1</v>
      </c>
      <c r="D92" t="str">
        <f t="shared" si="4"/>
        <v>UL0769FGATAA043IH000002</v>
      </c>
    </row>
    <row r="93" spans="1:4">
      <c r="A93" t="s">
        <v>176</v>
      </c>
      <c r="B93" t="s">
        <v>71</v>
      </c>
      <c r="C93">
        <v>1</v>
      </c>
      <c r="D93" t="str">
        <f t="shared" si="4"/>
        <v>UL0859DBAABA312JA000003</v>
      </c>
    </row>
    <row r="94" spans="1:4">
      <c r="A94" t="s">
        <v>177</v>
      </c>
      <c r="B94" t="s">
        <v>66</v>
      </c>
      <c r="C94">
        <v>1</v>
      </c>
      <c r="D94" t="str">
        <f t="shared" si="4"/>
        <v>UL0926VHAABA122JA000013</v>
      </c>
    </row>
    <row r="95" spans="1:4">
      <c r="A95" t="s">
        <v>178</v>
      </c>
      <c r="B95" t="s">
        <v>71</v>
      </c>
      <c r="C95">
        <v>1</v>
      </c>
      <c r="D95" t="str">
        <f t="shared" si="4"/>
        <v>UL1002FHCSAA043IH000001</v>
      </c>
    </row>
    <row r="96" spans="1:4">
      <c r="A96" t="s">
        <v>179</v>
      </c>
      <c r="B96" t="s">
        <v>76</v>
      </c>
      <c r="C96">
        <v>1</v>
      </c>
      <c r="D96" t="str">
        <f t="shared" si="4"/>
        <v>UL1002FILUAA022JA000005</v>
      </c>
    </row>
    <row r="97" spans="1:4">
      <c r="A97" t="s">
        <v>180</v>
      </c>
      <c r="B97" t="s">
        <v>76</v>
      </c>
      <c r="C97">
        <v>1</v>
      </c>
      <c r="D97" t="str">
        <f t="shared" si="4"/>
        <v>UL1002FIZMAA021BL000004</v>
      </c>
    </row>
    <row r="98" spans="1:4">
      <c r="A98" t="s">
        <v>181</v>
      </c>
      <c r="B98" t="s">
        <v>66</v>
      </c>
      <c r="C98">
        <v>1</v>
      </c>
      <c r="D98" t="str">
        <f t="shared" si="4"/>
        <v>UL1047FBWNAA043IH000001</v>
      </c>
    </row>
    <row r="99" spans="1:4">
      <c r="A99" t="s">
        <v>182</v>
      </c>
      <c r="B99" t="s">
        <v>71</v>
      </c>
      <c r="C99">
        <v>1</v>
      </c>
      <c r="D99" t="str">
        <f t="shared" si="4"/>
        <v>UL1095BSFFAA042JD000004</v>
      </c>
    </row>
    <row r="100" spans="1:4">
      <c r="A100" t="s">
        <v>183</v>
      </c>
      <c r="B100" t="s">
        <v>71</v>
      </c>
      <c r="C100">
        <v>1</v>
      </c>
      <c r="D100" t="str">
        <f t="shared" si="4"/>
        <v>UL1153VFAR1A021BL000005</v>
      </c>
    </row>
    <row r="101" spans="1:4">
      <c r="A101" t="s">
        <v>184</v>
      </c>
      <c r="B101" t="s">
        <v>76</v>
      </c>
      <c r="C101">
        <v>1</v>
      </c>
      <c r="D101" t="str">
        <f t="shared" si="4"/>
        <v>UL1153VFIR1A011BL000005</v>
      </c>
    </row>
    <row r="102" spans="1:4">
      <c r="A102" t="s">
        <v>185</v>
      </c>
      <c r="B102" t="s">
        <v>76</v>
      </c>
      <c r="C102">
        <v>1</v>
      </c>
      <c r="D102" t="str">
        <f t="shared" si="4"/>
        <v>UL1153VFZT1A021BL000005</v>
      </c>
    </row>
    <row r="103" spans="1:4">
      <c r="A103" t="s">
        <v>186</v>
      </c>
      <c r="B103" t="s">
        <v>66</v>
      </c>
      <c r="C103">
        <v>1</v>
      </c>
      <c r="D103" t="str">
        <f t="shared" si="4"/>
        <v>UL1163VIAR1A041BL000006</v>
      </c>
    </row>
    <row r="104" spans="1:4">
      <c r="A104" t="s">
        <v>187</v>
      </c>
      <c r="B104" t="s">
        <v>66</v>
      </c>
      <c r="C104">
        <v>1</v>
      </c>
      <c r="D104" t="str">
        <f t="shared" si="4"/>
        <v>UL1519CMNGLA002OXNJ0038</v>
      </c>
    </row>
    <row r="105" spans="1:4">
      <c r="A105" t="s">
        <v>188</v>
      </c>
      <c r="B105" t="s">
        <v>71</v>
      </c>
      <c r="C105">
        <v>1</v>
      </c>
      <c r="D105" t="str">
        <f t="shared" si="4"/>
        <v>UL1720FOZNAA182BD000004</v>
      </c>
    </row>
    <row r="106" spans="1:4">
      <c r="A106" t="s">
        <v>189</v>
      </c>
      <c r="B106" t="s">
        <v>71</v>
      </c>
      <c r="C106">
        <v>1</v>
      </c>
      <c r="D106" t="str">
        <f t="shared" si="4"/>
        <v>UL1720FPDLAA371BL000002</v>
      </c>
    </row>
    <row r="107" spans="1:4">
      <c r="A107" t="s">
        <v>190</v>
      </c>
      <c r="B107" t="s">
        <v>66</v>
      </c>
      <c r="C107">
        <v>1</v>
      </c>
      <c r="D107" t="str">
        <f t="shared" si="4"/>
        <v>UL1919CEFIAA002EE000002</v>
      </c>
    </row>
    <row r="108" spans="1:4">
      <c r="A108" t="s">
        <v>191</v>
      </c>
      <c r="B108" t="s">
        <v>71</v>
      </c>
      <c r="C108">
        <v>1</v>
      </c>
      <c r="D108" t="str">
        <f t="shared" si="4"/>
        <v>UL1920SDCAGA002JA000015</v>
      </c>
    </row>
    <row r="109" spans="1:4">
      <c r="A109" t="s">
        <v>192</v>
      </c>
      <c r="B109" t="s">
        <v>71</v>
      </c>
      <c r="C109">
        <v>1</v>
      </c>
      <c r="D109" t="str">
        <f t="shared" si="4"/>
        <v>UL1920SDDAGA002JA000014</v>
      </c>
    </row>
    <row r="110" spans="1:4">
      <c r="A110" t="s">
        <v>193</v>
      </c>
      <c r="B110" t="s">
        <v>76</v>
      </c>
      <c r="C110">
        <v>1</v>
      </c>
      <c r="D110" t="str">
        <f t="shared" si="4"/>
        <v>UL2617FFASAA002ED000004</v>
      </c>
    </row>
    <row r="111" spans="1:4">
      <c r="A111" t="s">
        <v>194</v>
      </c>
      <c r="B111" t="s">
        <v>76</v>
      </c>
      <c r="C111">
        <v>1</v>
      </c>
      <c r="D111" t="str">
        <f t="shared" si="4"/>
        <v>UL2617FFFSAA002ED000003</v>
      </c>
    </row>
    <row r="112" spans="1:4">
      <c r="A112" t="s">
        <v>195</v>
      </c>
      <c r="B112" t="s">
        <v>71</v>
      </c>
      <c r="C112">
        <v>1</v>
      </c>
      <c r="D112" t="str">
        <f t="shared" si="4"/>
        <v>UL2923FZNSAA002JA000002</v>
      </c>
    </row>
    <row r="113" spans="1:4">
      <c r="A113" t="s">
        <v>196</v>
      </c>
      <c r="B113" t="s">
        <v>76</v>
      </c>
      <c r="C113">
        <v>1</v>
      </c>
      <c r="D113" t="str">
        <f t="shared" si="4"/>
        <v>UL2923FZPLAA002JA000001</v>
      </c>
    </row>
    <row r="114" spans="1:4">
      <c r="A114" t="s">
        <v>197</v>
      </c>
      <c r="B114" t="s">
        <v>76</v>
      </c>
      <c r="C114">
        <v>1</v>
      </c>
      <c r="D114" t="str">
        <f t="shared" si="4"/>
        <v>UL2923FZPSAA002JA000004</v>
      </c>
    </row>
    <row r="115" spans="1:4">
      <c r="A115" t="s">
        <v>198</v>
      </c>
      <c r="B115" t="s">
        <v>66</v>
      </c>
      <c r="C115">
        <v>1</v>
      </c>
      <c r="D115" t="str">
        <f t="shared" si="4"/>
        <v>UL2923FZQSAA002JA000003</v>
      </c>
    </row>
    <row r="116" spans="1:4">
      <c r="A116" t="s">
        <v>199</v>
      </c>
      <c r="B116" t="s">
        <v>66</v>
      </c>
      <c r="C116">
        <v>1</v>
      </c>
      <c r="D116" t="str">
        <f t="shared" si="4"/>
        <v>UL2923FZRLAA002JA000004</v>
      </c>
    </row>
    <row r="117" spans="1:4">
      <c r="A117" t="s">
        <v>200</v>
      </c>
      <c r="B117" t="s">
        <v>71</v>
      </c>
      <c r="C117">
        <v>1</v>
      </c>
      <c r="D117" t="str">
        <f t="shared" si="4"/>
        <v>UL2923FZVSAA002JA000004</v>
      </c>
    </row>
    <row r="118" spans="1:4">
      <c r="A118" t="s">
        <v>201</v>
      </c>
      <c r="B118" t="s">
        <v>66</v>
      </c>
      <c r="C118">
        <v>1</v>
      </c>
      <c r="D118" t="str">
        <f t="shared" si="4"/>
        <v>UL32191HKABAP51BL000001</v>
      </c>
    </row>
    <row r="119" spans="1:4">
      <c r="A119" t="s">
        <v>202</v>
      </c>
      <c r="B119" t="s">
        <v>66</v>
      </c>
      <c r="C119">
        <v>1</v>
      </c>
      <c r="D119" t="str">
        <f t="shared" si="4"/>
        <v>UL38201DPABAP32EA000001</v>
      </c>
    </row>
    <row r="120" spans="1:4">
      <c r="A120" t="s">
        <v>203</v>
      </c>
      <c r="B120" t="s">
        <v>66</v>
      </c>
      <c r="C120">
        <v>1</v>
      </c>
      <c r="D120" t="str">
        <f t="shared" si="4"/>
        <v>UL3820DCOABAP12OXNJ0040</v>
      </c>
    </row>
    <row r="121" spans="1:4">
      <c r="A121" t="s">
        <v>204</v>
      </c>
      <c r="B121" t="s">
        <v>66</v>
      </c>
      <c r="C121">
        <v>1</v>
      </c>
      <c r="D121" t="str">
        <f t="shared" si="4"/>
        <v>UL3820JCQABAP12EA000008</v>
      </c>
    </row>
    <row r="122" spans="1:4">
      <c r="A122" t="s">
        <v>205</v>
      </c>
      <c r="B122" t="s">
        <v>71</v>
      </c>
      <c r="C122">
        <v>1</v>
      </c>
      <c r="D122" t="str">
        <f t="shared" si="4"/>
        <v>UL3820JCUABAP12EA000011</v>
      </c>
    </row>
    <row r="123" spans="1:4">
      <c r="A123" t="s">
        <v>206</v>
      </c>
      <c r="B123" t="s">
        <v>71</v>
      </c>
      <c r="C123">
        <v>1</v>
      </c>
      <c r="D123" t="str">
        <f t="shared" si="4"/>
        <v>UL3820SDCABAP12EA000012</v>
      </c>
    </row>
    <row r="124" spans="1:4">
      <c r="A124" t="s">
        <v>207</v>
      </c>
      <c r="B124" t="s">
        <v>66</v>
      </c>
      <c r="C124">
        <v>1</v>
      </c>
      <c r="D124" t="str">
        <f t="shared" si="4"/>
        <v>UL3820VDFQ2AP32BA000005</v>
      </c>
    </row>
    <row r="125" spans="1:4">
      <c r="A125" t="s">
        <v>208</v>
      </c>
      <c r="B125" t="s">
        <v>71</v>
      </c>
      <c r="C125">
        <v>1</v>
      </c>
      <c r="D125" t="str">
        <f t="shared" si="4"/>
        <v>UL3820VDIQ2AP32EA000011</v>
      </c>
    </row>
    <row r="126" spans="1:4">
      <c r="A126" t="s">
        <v>209</v>
      </c>
      <c r="B126" t="s">
        <v>76</v>
      </c>
      <c r="C126">
        <v>1</v>
      </c>
      <c r="D126" t="str">
        <f t="shared" si="4"/>
        <v>UL4022FJBNAA122JA000008</v>
      </c>
    </row>
    <row r="127" spans="1:4">
      <c r="A127" t="s">
        <v>210</v>
      </c>
      <c r="B127" t="s">
        <v>71</v>
      </c>
      <c r="C127">
        <v>1</v>
      </c>
      <c r="D127" t="str">
        <f t="shared" si="4"/>
        <v>UP1048YJRGAA002EA000009</v>
      </c>
    </row>
    <row r="128" spans="1:4">
      <c r="A128" t="s">
        <v>211</v>
      </c>
      <c r="B128" t="s">
        <v>76</v>
      </c>
      <c r="C128">
        <v>1</v>
      </c>
      <c r="D128" t="str">
        <f t="shared" si="4"/>
        <v>UP1096DDCABA181BL000002</v>
      </c>
    </row>
    <row r="129" spans="1:4">
      <c r="A129" t="s">
        <v>212</v>
      </c>
      <c r="B129" t="s">
        <v>71</v>
      </c>
      <c r="C129">
        <v>1</v>
      </c>
      <c r="D129" t="str">
        <f t="shared" si="4"/>
        <v>UP1154YMEGAA002EA000004</v>
      </c>
    </row>
    <row r="130" spans="1:4">
      <c r="A130" t="s">
        <v>213</v>
      </c>
      <c r="B130" t="s">
        <v>76</v>
      </c>
      <c r="C130">
        <v>1</v>
      </c>
      <c r="D130" t="str">
        <f t="shared" si="4"/>
        <v>UP1160OUKAAAP12EB000001</v>
      </c>
    </row>
    <row r="131" spans="1:4">
      <c r="A131" t="s">
        <v>214</v>
      </c>
      <c r="B131" t="s">
        <v>76</v>
      </c>
      <c r="C131">
        <v>1</v>
      </c>
      <c r="D131" t="str">
        <f t="shared" si="4"/>
        <v>UP11931CEABAP12EE000004</v>
      </c>
    </row>
    <row r="132" spans="1:4">
      <c r="A132" t="s">
        <v>215</v>
      </c>
      <c r="B132" t="s">
        <v>66</v>
      </c>
      <c r="C132">
        <v>1</v>
      </c>
      <c r="D132" t="str">
        <f t="shared" si="4"/>
        <v>UP1250YHTEAA002ED000009</v>
      </c>
    </row>
    <row r="133" spans="1:4">
      <c r="A133" t="s">
        <v>216</v>
      </c>
      <c r="B133" t="s">
        <v>66</v>
      </c>
      <c r="C133">
        <v>1</v>
      </c>
      <c r="D133" t="str">
        <f t="shared" si="4"/>
        <v>UP1250YHZEAA002ED000009</v>
      </c>
    </row>
    <row r="134" spans="1:4">
      <c r="A134" t="s">
        <v>217</v>
      </c>
      <c r="B134" t="s">
        <v>76</v>
      </c>
      <c r="C134">
        <v>1</v>
      </c>
      <c r="D134" t="str">
        <f t="shared" si="4"/>
        <v>UP2018YWNGAA002ED000010</v>
      </c>
    </row>
    <row r="135" spans="1:4">
      <c r="A135" t="s">
        <v>218</v>
      </c>
      <c r="B135" t="s">
        <v>71</v>
      </c>
      <c r="C135">
        <v>1</v>
      </c>
      <c r="D135" t="str">
        <f t="shared" si="4"/>
        <v>UP20202AS1BAP32EA000004</v>
      </c>
    </row>
    <row r="136" spans="1:4">
      <c r="A136" t="s">
        <v>219</v>
      </c>
      <c r="B136" t="s">
        <v>76</v>
      </c>
      <c r="C136">
        <v>1</v>
      </c>
      <c r="D136" t="str">
        <f t="shared" si="4"/>
        <v>UP2115YWAGAA002ED000012</v>
      </c>
    </row>
    <row r="137" spans="1:4">
      <c r="A137" t="s">
        <v>220</v>
      </c>
      <c r="B137" t="s">
        <v>76</v>
      </c>
      <c r="C137">
        <v>1</v>
      </c>
      <c r="D137" t="str">
        <f t="shared" si="4"/>
        <v>UP3217FDRNAAP32EB000008</v>
      </c>
    </row>
    <row r="138" spans="1:4">
      <c r="A138" t="s">
        <v>221</v>
      </c>
      <c r="B138" t="s">
        <v>76</v>
      </c>
      <c r="C138">
        <v>1</v>
      </c>
      <c r="D138" t="str">
        <f t="shared" si="4"/>
        <v>UP3217FDSOAAP32EB000008</v>
      </c>
    </row>
    <row r="139" spans="1:4">
      <c r="A139" t="s">
        <v>222</v>
      </c>
      <c r="B139" t="s">
        <v>71</v>
      </c>
      <c r="C139">
        <v>1</v>
      </c>
      <c r="D139" t="str">
        <f t="shared" si="4"/>
        <v>UP4021CBXMOACZ2EA000003</v>
      </c>
    </row>
    <row r="140" spans="1:4">
      <c r="A140" t="s">
        <v>223</v>
      </c>
      <c r="B140" t="s">
        <v>71</v>
      </c>
      <c r="C140">
        <v>1</v>
      </c>
      <c r="D140" t="str">
        <f t="shared" si="4"/>
        <v>UP5060VJDR2AP52BA000003</v>
      </c>
    </row>
    <row r="141" spans="1:4">
      <c r="A141" t="s">
        <v>224</v>
      </c>
      <c r="B141" t="s">
        <v>71</v>
      </c>
      <c r="C141">
        <v>1</v>
      </c>
      <c r="D141" t="str">
        <f t="shared" si="4"/>
        <v>UP5060VJHR2AP52BA000003</v>
      </c>
    </row>
    <row r="142" spans="1:4">
      <c r="A142" t="s">
        <v>225</v>
      </c>
      <c r="B142" t="s">
        <v>76</v>
      </c>
      <c r="C142">
        <v>1</v>
      </c>
      <c r="D142" t="str">
        <f t="shared" si="4"/>
        <v>UP5060VJLR2AP51BL000001</v>
      </c>
    </row>
    <row r="143" spans="1:4">
      <c r="A143" t="s">
        <v>226</v>
      </c>
      <c r="B143" t="s">
        <v>76</v>
      </c>
      <c r="C143">
        <v>1</v>
      </c>
      <c r="D143" t="str">
        <f t="shared" si="4"/>
        <v>UP5060VKWR2AP51BL000002</v>
      </c>
    </row>
    <row r="144" spans="1:4">
      <c r="A144" t="s">
        <v>227</v>
      </c>
      <c r="B144" t="s">
        <v>66</v>
      </c>
      <c r="C144">
        <v>1</v>
      </c>
      <c r="D144" t="str">
        <f t="shared" si="4"/>
        <v>UP5060VLBS2AP52BA000002</v>
      </c>
    </row>
    <row r="145" spans="1:4">
      <c r="A145" t="s">
        <v>228</v>
      </c>
      <c r="B145" t="s">
        <v>66</v>
      </c>
      <c r="C145">
        <v>1</v>
      </c>
      <c r="D145" t="str">
        <f t="shared" si="4"/>
        <v>UPF1D1DFFAGACZ2EA000011</v>
      </c>
    </row>
    <row r="146" spans="1:4">
      <c r="A146" t="s">
        <v>229</v>
      </c>
      <c r="B146" t="s">
        <v>71</v>
      </c>
      <c r="C146">
        <v>1</v>
      </c>
      <c r="D146" t="str">
        <f t="shared" si="4"/>
        <v>UPF1D1SEBAGACZ2EA000009</v>
      </c>
    </row>
    <row r="147" spans="1:4">
      <c r="A147" t="s">
        <v>230</v>
      </c>
      <c r="B147" t="s">
        <v>76</v>
      </c>
      <c r="C147">
        <v>1</v>
      </c>
      <c r="D147" t="str">
        <f t="shared" si="4"/>
        <v>UPF1D1SECAGACZ2EA000008</v>
      </c>
    </row>
    <row r="148" spans="1:4">
      <c r="A148" t="s">
        <v>231</v>
      </c>
      <c r="B148" t="s">
        <v>76</v>
      </c>
      <c r="C148">
        <v>1</v>
      </c>
      <c r="D148" t="str">
        <f t="shared" si="4"/>
        <v>UPF1D1SEKAGACZ2EA000015</v>
      </c>
    </row>
    <row r="149" spans="1:4">
      <c r="A149" t="s">
        <v>232</v>
      </c>
      <c r="B149" t="s">
        <v>66</v>
      </c>
      <c r="C149">
        <v>1</v>
      </c>
      <c r="D149" t="str">
        <f t="shared" si="4"/>
        <v>UPT445CBTMAACZ2EA000001</v>
      </c>
    </row>
    <row r="150" spans="1:4">
      <c r="A150" t="s">
        <v>233</v>
      </c>
      <c r="B150" t="s">
        <v>76</v>
      </c>
      <c r="C150">
        <v>1</v>
      </c>
      <c r="D150" t="str">
        <f t="shared" si="4"/>
        <v>UT1188FTBSAA002BD000010</v>
      </c>
    </row>
    <row r="151" spans="1:4">
      <c r="A151" t="s">
        <v>234</v>
      </c>
      <c r="B151" t="s">
        <v>66</v>
      </c>
      <c r="C151">
        <v>1</v>
      </c>
      <c r="D151" t="str">
        <f t="shared" si="4"/>
        <v>UT1786FCLSAA002BD000009</v>
      </c>
    </row>
    <row r="152" spans="1:4">
      <c r="A152" t="s">
        <v>235</v>
      </c>
      <c r="B152" t="s">
        <v>66</v>
      </c>
      <c r="C152">
        <v>1</v>
      </c>
      <c r="D152" t="str">
        <f t="shared" si="4"/>
        <v>UT2013FCBSAA042BD000005</v>
      </c>
    </row>
    <row r="153" spans="1:4">
      <c r="A153" t="s">
        <v>236</v>
      </c>
      <c r="B153" t="s">
        <v>71</v>
      </c>
      <c r="C153">
        <v>1</v>
      </c>
      <c r="D153" t="str">
        <f t="shared" si="4"/>
        <v>UT2013FFZOAA002BD000006</v>
      </c>
    </row>
    <row r="154" spans="1:4">
      <c r="A154" t="s">
        <v>237</v>
      </c>
      <c r="B154" t="s">
        <v>71</v>
      </c>
      <c r="C154">
        <v>1</v>
      </c>
      <c r="D154" t="str">
        <f t="shared" si="4"/>
        <v>UT3115FAOLAA042BD000005</v>
      </c>
    </row>
    <row r="155" spans="1:4">
      <c r="A155" t="s">
        <v>238</v>
      </c>
      <c r="B155" t="s">
        <v>76</v>
      </c>
      <c r="C155">
        <v>1</v>
      </c>
      <c r="D155" t="str">
        <f t="shared" ref="D155" si="5">TRIM($A155)</f>
        <v>UT3115FAPRAA042BD000010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Mohammed Salmon S</cp:lastModifiedBy>
  <cp:revision/>
  <dcterms:created xsi:type="dcterms:W3CDTF">2024-07-24T05:33:02Z</dcterms:created>
  <dcterms:modified xsi:type="dcterms:W3CDTF">2025-05-08T07:18:39Z</dcterms:modified>
  <cp:category/>
  <cp:contentStatus/>
</cp:coreProperties>
</file>